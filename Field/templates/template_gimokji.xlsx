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-120" yWindow="-120" windowWidth="23250" windowHeight="13170" tabRatio="802" firstSheet="0" activeTab="0" autoFilterDateGrouping="1"/>
  </bookViews>
  <sheets>
    <sheet xmlns:r="http://schemas.openxmlformats.org/officeDocument/2006/relationships" name="1m이내기록지" sheetId="1" state="visible" r:id="rId1"/>
  </sheets>
  <definedNames>
    <definedName name="Cp">#REF!</definedName>
    <definedName name="D">#REF!</definedName>
    <definedName name="Dh">#REF!</definedName>
    <definedName name="Dn">#REF!</definedName>
    <definedName name="Dw">#REF!</definedName>
    <definedName name="m">#REF!</definedName>
    <definedName name="ma">#REF!</definedName>
    <definedName name="O">#REF!</definedName>
    <definedName name="Oa">#REF!</definedName>
    <definedName name="Os">#REF!</definedName>
    <definedName name="Pa">#REF!</definedName>
    <definedName name="Pm">#REF!</definedName>
    <definedName name="Ps">#REF!</definedName>
    <definedName name="t">#REF!</definedName>
    <definedName name="TmC">#REF!</definedName>
    <definedName name="TmF">#REF!</definedName>
    <definedName name="Ts">#REF!</definedName>
    <definedName name="v">#REF!</definedName>
    <definedName name="Ve">#REF!</definedName>
    <definedName name="Vic">#REF!</definedName>
    <definedName name="Vm">#REF!</definedName>
    <definedName name="We">#REF!</definedName>
    <definedName name="Ws">#REF!</definedName>
    <definedName name="Xw">#REF!</definedName>
    <definedName name="ΔH">#REF!</definedName>
    <definedName name="ΔP">#REF!</definedName>
    <definedName name="굴뚝변동사진">INDEX(굴뚝사진,MATCH(#REF!,굴뚝형태,0))</definedName>
    <definedName name="굴뚝사진">#REF!</definedName>
    <definedName name="굴뚝형태">#REF!</definedName>
    <definedName name="연료사용량">#REF!</definedName>
    <definedName name="_xlnm.Print_Area" localSheetId="0">'1m이내기록지'!$A$1:$AG$144</definedName>
  </definedNames>
  <calcPr calcId="145621" fullCalcOnLoad="1"/>
</workbook>
</file>

<file path=xl/styles.xml><?xml version="1.0" encoding="utf-8"?>
<styleSheet xmlns="http://schemas.openxmlformats.org/spreadsheetml/2006/main">
  <numFmts count="62">
    <numFmt numFmtId="164" formatCode="0.###&quot;R&quot;"/>
    <numFmt numFmtId="165" formatCode="0.0_);[Red]\(0.0\)"/>
    <numFmt numFmtId="166" formatCode="0.00_ "/>
    <numFmt numFmtId="167" formatCode="#,##0.00_ "/>
    <numFmt numFmtId="168" formatCode="yyyy&quot;년&quot;\ m&quot;월&quot;\ d&quot;일&quot;;@"/>
    <numFmt numFmtId="169" formatCode="0.0"/>
    <numFmt numFmtId="170" formatCode="0.000_ "/>
    <numFmt numFmtId="171" formatCode="_-* #,##0_-;\-* #,##0_-;_-* &quot;-&quot;_-;_-@_-"/>
    <numFmt numFmtId="172" formatCode="#\ &quot;㎥/분&quot;"/>
    <numFmt numFmtId="173" formatCode="#,##0.0_ "/>
    <numFmt numFmtId="174" formatCode="General&quot;mg&quot;"/>
    <numFmt numFmtId="175" formatCode="#.#"/>
    <numFmt numFmtId="176" formatCode="#,##0_ "/>
    <numFmt numFmtId="177" formatCode="0.0000\ \ &quot;g&quot;"/>
    <numFmt numFmtId="178" formatCode="General\ \ &quot;mg&quot;"/>
    <numFmt numFmtId="179" formatCode="0.00&quot;%&quot;"/>
    <numFmt numFmtId="180" formatCode="0.00_);[Red]\(0.00\)"/>
    <numFmt numFmtId="181" formatCode="#,##0_);[Red]\(#,##0\)"/>
    <numFmt numFmtId="182" formatCode="0.000"/>
    <numFmt numFmtId="183" formatCode="#"/>
    <numFmt numFmtId="184" formatCode="0_ "/>
    <numFmt numFmtId="185" formatCode="[$-F800]dddd\,\ mmmm\ dd\,\ yyyy"/>
    <numFmt numFmtId="186" formatCode="mmm"/>
    <numFmt numFmtId="187" formatCode="h:mm:ss;@"/>
    <numFmt numFmtId="188" formatCode="#,##0.0_);[Red]\(#,##0.0\)"/>
    <numFmt numFmtId="189" formatCode="0_);[Red]\(0\)"/>
    <numFmt numFmtId="190" formatCode="&quot;₩&quot;#,##0"/>
    <numFmt numFmtId="191" formatCode="0.0000_ "/>
    <numFmt numFmtId="192" formatCode="General\ &quot;°C&quot;"/>
    <numFmt numFmtId="193" formatCode="General\ &quot;%&quot;"/>
    <numFmt numFmtId="194" formatCode="General&quot;m/s&quot;"/>
    <numFmt numFmtId="195" formatCode="#0.00\ &quot;m&quot;"/>
    <numFmt numFmtId="196" formatCode="0.000000000000_ "/>
    <numFmt numFmtId="197" formatCode="hh:mm"/>
    <numFmt numFmtId="198" formatCode="hh:mm:ss"/>
    <numFmt numFmtId="199" formatCode="#0\ &quot;%&quot;"/>
    <numFmt numFmtId="200" formatCode="General\ &quot;㎥/분&quot;"/>
    <numFmt numFmtId="201" formatCode="_-* #,##0.0_-;\-* #,##0.0_-;_-* &quot;-&quot;_-;_-@_-"/>
    <numFmt numFmtId="202" formatCode="_-* #,##0.0_-;\-* #,##0.0_-;_-* &quot;-&quot;??_-;_-@_-"/>
    <numFmt numFmtId="203" formatCode="_-* #,##0.00_-;\-* #,##0.00_-;_-* &quot;-&quot;??_-;_-@_-"/>
    <numFmt numFmtId="204" formatCode="_-* #,##0.0000_-;\-* #,##0.0000_-;_-* &quot;-&quot;?????_-;_-@_-"/>
    <numFmt numFmtId="205" formatCode="0.0_ "/>
    <numFmt numFmtId="206" formatCode="@\ \ \ \ \ \ \ \ \ \ \ \ \ \ &quot;[서 명]&quot;"/>
    <numFmt numFmtId="207" formatCode="#0\ &quot;종&quot;"/>
    <numFmt numFmtId="208" formatCode="\ General&quot;mmHg&quot;"/>
    <numFmt numFmtId="209" formatCode="#0.0\ &quot;m&quot;"/>
    <numFmt numFmtId="210" formatCode="\ General\ &quot;mmHg&quot;"/>
    <numFmt numFmtId="211" formatCode="General\ &quot;m/s&quot;"/>
    <numFmt numFmtId="212" formatCode="000\-000"/>
    <numFmt numFmtId="213" formatCode="@\ \ \ \ \ \ \ \ \ \ \ \ \ \ \ \ \ \ \ \ &quot;[서 명]&quot;"/>
    <numFmt numFmtId="214" formatCode="#.00\ &quot;㎥/분&quot;"/>
    <numFmt numFmtId="215" formatCode="#.00\ &quot;S㎥/분&quot;"/>
    <numFmt numFmtId="216" formatCode="0.00\ &quot;L&quot;"/>
    <numFmt numFmtId="217" formatCode="0.0000"/>
    <numFmt numFmtId="218" formatCode="m&quot;/&quot;d;@"/>
    <numFmt numFmtId="219" formatCode="#,##0;[Red]#,##0"/>
    <numFmt numFmtId="220" formatCode="yyyy&quot;년&quot;\ m&quot;월&quot;\ d&quot;일&quot;"/>
    <numFmt numFmtId="221" formatCode="General&quot;F&quot;"/>
    <numFmt numFmtId="222" formatCode="0.0000_);[Red]\(0.0000\)"/>
    <numFmt numFmtId="223" formatCode="0.000_);[Red]\(0.000\)"/>
    <numFmt numFmtId="224" formatCode="0.0;_栅"/>
    <numFmt numFmtId="225" formatCode="_-* #,##0.000_-;\-* #,##0.000_-;_-* &quot;-&quot;_-;_-@_-"/>
  </numFmts>
  <fonts count="302">
    <font>
      <name val="맑은 고딕"/>
      <charset val="129"/>
      <family val="3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sz val="8"/>
    </font>
    <font>
      <name val="맑은 고딕"/>
      <charset val="129"/>
      <family val="3"/>
      <b val="1"/>
      <color indexed="8"/>
      <sz val="11"/>
    </font>
    <font>
      <name val="맑은 고딕"/>
      <charset val="129"/>
      <family val="3"/>
      <color indexed="8"/>
      <sz val="11"/>
    </font>
    <font>
      <name val="맑은 고딕"/>
      <charset val="129"/>
      <family val="3"/>
      <b val="1"/>
      <color indexed="8"/>
      <sz val="10"/>
    </font>
    <font>
      <name val="맑은 고딕"/>
      <charset val="129"/>
      <family val="3"/>
      <b val="1"/>
      <color indexed="8"/>
      <sz val="10"/>
      <vertAlign val="superscript"/>
    </font>
    <font>
      <name val="맑은 고딕"/>
      <charset val="129"/>
      <family val="3"/>
      <color indexed="8"/>
      <sz val="11"/>
      <vertAlign val="superscript"/>
    </font>
    <font>
      <name val="맑은 고딕"/>
      <charset val="129"/>
      <family val="3"/>
      <color indexed="8"/>
      <sz val="10"/>
    </font>
    <font>
      <name val="맑은 고딕"/>
      <charset val="129"/>
      <family val="3"/>
      <b val="1"/>
      <color indexed="10"/>
      <sz val="10"/>
    </font>
    <font>
      <name val="맑은 고딕"/>
      <charset val="129"/>
      <family val="3"/>
      <b val="1"/>
      <color indexed="8"/>
      <sz val="9"/>
    </font>
    <font>
      <name val="맑은 고딕"/>
      <charset val="129"/>
      <family val="3"/>
      <color indexed="8"/>
      <sz val="8"/>
    </font>
    <font>
      <name val="맑은 고딕"/>
      <charset val="129"/>
      <family val="3"/>
      <color indexed="8"/>
      <sz val="10"/>
      <vertAlign val="subscript"/>
    </font>
    <font>
      <name val="Bernard MT Condensed"/>
      <family val="1"/>
      <color indexed="8"/>
      <sz val="12"/>
    </font>
    <font>
      <name val="Bernard MT Condensed"/>
      <family val="1"/>
      <color indexed="8"/>
      <sz val="11"/>
    </font>
    <font>
      <name val="맑은 고딕"/>
      <charset val="129"/>
      <family val="3"/>
      <color indexed="8"/>
      <sz val="10"/>
      <vertAlign val="superscript"/>
    </font>
    <font>
      <name val="맑은 고딕"/>
      <charset val="129"/>
      <family val="3"/>
      <color indexed="8"/>
      <sz val="12"/>
    </font>
    <font>
      <name val="맑은 고딕"/>
      <charset val="129"/>
      <family val="3"/>
      <b val="1"/>
      <color indexed="8"/>
      <sz val="14"/>
    </font>
    <font>
      <name val="HY견명조"/>
      <charset val="129"/>
      <family val="1"/>
      <b val="1"/>
      <color indexed="8"/>
      <sz val="10"/>
    </font>
    <font>
      <name val="HY견명조"/>
      <charset val="129"/>
      <family val="1"/>
      <color indexed="8"/>
      <sz val="11"/>
    </font>
    <font>
      <name val="HY견명조"/>
      <charset val="129"/>
      <family val="1"/>
      <color indexed="8"/>
      <sz val="11"/>
      <vertAlign val="subscript"/>
    </font>
    <font>
      <name val="HY견명조"/>
      <charset val="129"/>
      <family val="1"/>
      <b val="1"/>
      <color indexed="8"/>
      <sz val="10"/>
      <vertAlign val="subscript"/>
    </font>
    <font>
      <name val="HY견명조"/>
      <charset val="129"/>
      <family val="1"/>
      <b val="1"/>
      <color indexed="8"/>
      <sz val="11"/>
    </font>
    <font>
      <name val="맑은 고딕"/>
      <charset val="129"/>
      <family val="3"/>
      <b val="1"/>
      <color indexed="8"/>
      <sz val="6"/>
    </font>
    <font>
      <name val="HY견명조"/>
      <charset val="129"/>
      <family val="1"/>
      <b val="1"/>
      <sz val="14"/>
    </font>
    <font>
      <name val="맑은 고딕"/>
      <charset val="129"/>
      <family val="3"/>
      <b val="1"/>
      <color indexed="62"/>
      <sz val="11"/>
      <vertAlign val="superscript"/>
    </font>
    <font>
      <name val="맑은 고딕"/>
      <charset val="129"/>
      <family val="3"/>
      <b val="1"/>
      <color indexed="10"/>
      <sz val="10"/>
      <vertAlign val="superscript"/>
    </font>
    <font>
      <name val="맑은 고딕"/>
      <charset val="129"/>
      <family val="3"/>
      <b val="1"/>
      <color indexed="8"/>
      <sz val="10"/>
      <vertAlign val="subscript"/>
    </font>
    <font>
      <name val="맑은 고딕"/>
      <charset val="129"/>
      <family val="3"/>
      <b val="1"/>
      <color indexed="8"/>
      <sz val="11"/>
      <vertAlign val="subscript"/>
    </font>
    <font>
      <name val="Book Antiqua"/>
      <family val="1"/>
      <sz val="11"/>
    </font>
    <font>
      <name val="바탕"/>
      <charset val="129"/>
      <family val="1"/>
      <sz val="8"/>
    </font>
    <font>
      <name val="돋움"/>
      <charset val="129"/>
      <family val="3"/>
      <sz val="11"/>
    </font>
    <font>
      <name val="돋움"/>
      <charset val="129"/>
      <family val="3"/>
      <sz val="8"/>
    </font>
    <font>
      <name val="돋움"/>
      <charset val="129"/>
      <family val="3"/>
      <sz val="10"/>
    </font>
    <font>
      <name val="Arial"/>
      <family val="2"/>
      <sz val="10"/>
    </font>
    <font>
      <name val="돋움"/>
      <charset val="129"/>
      <family val="3"/>
      <sz val="9"/>
    </font>
    <font>
      <name val="돋움"/>
      <charset val="129"/>
      <family val="3"/>
      <b val="1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돋움"/>
      <charset val="129"/>
      <family val="3"/>
      <color indexed="81"/>
      <sz val="9"/>
    </font>
    <font>
      <name val="돋움"/>
      <charset val="129"/>
      <family val="3"/>
      <b val="1"/>
      <sz val="11"/>
    </font>
    <font>
      <name val="HY신명조"/>
      <charset val="129"/>
      <family val="1"/>
      <sz val="11"/>
    </font>
    <font>
      <name val="맑은 고딕"/>
      <charset val="129"/>
      <family val="3"/>
      <sz val="8"/>
    </font>
    <font>
      <name val="HY신명조"/>
      <charset val="129"/>
      <family val="1"/>
      <sz val="9"/>
    </font>
    <font>
      <name val="HY신명조"/>
      <charset val="129"/>
      <family val="1"/>
      <sz val="10"/>
    </font>
    <font>
      <name val="굴림"/>
      <charset val="129"/>
      <family val="3"/>
      <b val="1"/>
      <sz val="12"/>
    </font>
    <font>
      <name val="돋움"/>
      <charset val="129"/>
      <family val="3"/>
      <b val="1"/>
      <color indexed="10"/>
      <sz val="9"/>
    </font>
    <font>
      <name val="휴먼둥근헤드라인"/>
      <charset val="129"/>
      <family val="1"/>
      <sz val="11"/>
    </font>
    <font>
      <name val="휴먼둥근헤드라인"/>
      <charset val="129"/>
      <family val="1"/>
      <color indexed="10"/>
      <sz val="11"/>
    </font>
    <font>
      <name val="휴먼둥근헤드라인"/>
      <charset val="129"/>
      <family val="1"/>
      <color indexed="10"/>
      <sz val="18"/>
    </font>
    <font>
      <name val="휴먼둥근헤드라인"/>
      <charset val="129"/>
      <family val="1"/>
      <color indexed="56"/>
      <sz val="14"/>
    </font>
    <font>
      <name val="맑은 고딕"/>
      <charset val="129"/>
      <family val="3"/>
      <color indexed="8"/>
      <sz val="36"/>
    </font>
    <font>
      <name val="맑은 고딕"/>
      <charset val="129"/>
      <family val="3"/>
      <sz val="8"/>
    </font>
    <font>
      <name val="맑은 고딕"/>
      <charset val="129"/>
      <family val="3"/>
      <sz val="8"/>
    </font>
    <font>
      <name val="맑은 고딕"/>
      <charset val="129"/>
      <family val="3"/>
      <sz val="8"/>
    </font>
    <font>
      <name val="맑은 고딕"/>
      <charset val="129"/>
      <family val="3"/>
      <sz val="8"/>
    </font>
    <font>
      <name val="맑은 고딕"/>
      <charset val="129"/>
      <family val="3"/>
      <b val="1"/>
      <sz val="14"/>
    </font>
    <font>
      <name val="맑은 고딕"/>
      <charset val="129"/>
      <family val="3"/>
      <b val="1"/>
      <color indexed="10"/>
      <sz val="14"/>
    </font>
    <font>
      <name val="휴먼둥근헤드라인"/>
      <charset val="129"/>
      <family val="1"/>
      <color indexed="17"/>
      <sz val="11"/>
    </font>
    <font>
      <name val="맑은 고딕"/>
      <charset val="129"/>
      <family val="3"/>
      <sz val="8"/>
    </font>
    <font>
      <name val="맑은 고딕"/>
      <charset val="129"/>
      <family val="3"/>
      <sz val="8"/>
    </font>
    <font>
      <name val="돋움"/>
      <charset val="129"/>
      <family val="3"/>
      <b val="1"/>
      <color indexed="10"/>
      <sz val="10"/>
    </font>
    <font>
      <name val="맑은 고딕"/>
      <charset val="129"/>
      <family val="3"/>
      <sz val="8"/>
    </font>
    <font>
      <name val="맑은 고딕"/>
      <charset val="129"/>
      <family val="3"/>
      <color indexed="8"/>
      <sz val="6"/>
    </font>
    <font>
      <name val="돋움"/>
      <charset val="129"/>
      <family val="3"/>
      <b val="1"/>
      <color indexed="10"/>
      <sz val="16"/>
    </font>
    <font>
      <name val="굴림"/>
      <charset val="129"/>
      <family val="3"/>
      <color indexed="8"/>
      <sz val="8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theme="1"/>
      <sz val="11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b val="1"/>
      <color theme="1"/>
      <sz val="11"/>
      <u val="single"/>
      <scheme val="minor"/>
    </font>
    <font>
      <name val="HY견명조"/>
      <charset val="129"/>
      <family val="1"/>
      <b val="1"/>
      <color theme="1"/>
      <sz val="20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theme="1"/>
      <sz val="9"/>
      <scheme val="minor"/>
    </font>
    <font>
      <name val="맑은 고딕"/>
      <charset val="129"/>
      <family val="3"/>
      <color theme="1"/>
      <sz val="10"/>
    </font>
    <font>
      <name val="맑은 고딕"/>
      <charset val="129"/>
      <family val="3"/>
      <color theme="1"/>
      <sz val="10"/>
      <scheme val="maj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b val="1"/>
      <color theme="4"/>
      <sz val="11"/>
      <scheme val="minor"/>
    </font>
    <font>
      <name val="맑은 고딕"/>
      <charset val="129"/>
      <family val="3"/>
      <b val="1"/>
      <color theme="1"/>
      <sz val="11"/>
      <scheme val="major"/>
    </font>
    <font>
      <name val="맑은 고딕"/>
      <charset val="129"/>
      <family val="3"/>
      <color theme="1"/>
      <sz val="11"/>
      <scheme val="major"/>
    </font>
    <font>
      <name val="HY견명조"/>
      <charset val="129"/>
      <family val="1"/>
      <b val="1"/>
      <color theme="1"/>
      <sz val="12"/>
    </font>
    <font>
      <name val="돋움"/>
      <charset val="129"/>
      <family val="3"/>
      <color theme="1"/>
      <sz val="10"/>
    </font>
    <font>
      <name val="맑은 고딕"/>
      <charset val="129"/>
      <family val="3"/>
      <sz val="10"/>
      <scheme val="major"/>
    </font>
    <font>
      <name val="맑은 고딕"/>
      <charset val="129"/>
      <family val="3"/>
      <color rgb="FF000000"/>
      <sz val="14"/>
      <scheme val="minor"/>
    </font>
    <font>
      <name val="맑은 고딕"/>
      <charset val="129"/>
      <family val="3"/>
      <color theme="1"/>
      <sz val="14"/>
      <scheme val="minor"/>
    </font>
    <font>
      <name val="맑은 고딕"/>
      <charset val="129"/>
      <family val="3"/>
      <color rgb="FF000000"/>
      <sz val="16"/>
      <scheme val="minor"/>
    </font>
    <font>
      <name val="맑은 고딕"/>
      <charset val="129"/>
      <family val="3"/>
      <color theme="1"/>
      <sz val="16"/>
      <scheme val="minor"/>
    </font>
    <font>
      <name val="돋움"/>
      <charset val="129"/>
      <family val="3"/>
      <b val="1"/>
      <color theme="0"/>
      <sz val="9"/>
    </font>
    <font>
      <name val="돋움"/>
      <charset val="129"/>
      <family val="3"/>
      <color theme="0"/>
      <sz val="9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color rgb="FF000000"/>
      <sz val="10"/>
      <scheme val="minor"/>
    </font>
    <font>
      <name val="맑은 고딕"/>
      <charset val="129"/>
      <family val="3"/>
      <color rgb="FF000000"/>
      <sz val="11"/>
      <scheme val="minor"/>
    </font>
    <font>
      <name val="Times New Roman"/>
      <family val="1"/>
      <color rgb="FF000000"/>
      <sz val="9"/>
    </font>
    <font>
      <name val="맑은 고딕"/>
      <charset val="129"/>
      <family val="3"/>
      <b val="1"/>
      <color rgb="FF000000"/>
      <sz val="9"/>
      <scheme val="minor"/>
    </font>
    <font>
      <name val="맑은 고딕"/>
      <charset val="129"/>
      <family val="3"/>
      <color theme="1"/>
      <sz val="8"/>
      <scheme val="minor"/>
    </font>
    <font>
      <name val="맑은 고딕"/>
      <charset val="129"/>
      <family val="3"/>
      <color theme="0"/>
      <sz val="10"/>
      <scheme val="major"/>
    </font>
    <font>
      <name val="맑은 고딕"/>
      <charset val="129"/>
      <family val="3"/>
      <b val="1"/>
      <color rgb="FFFF0000"/>
      <sz val="11"/>
      <scheme val="major"/>
    </font>
    <font>
      <name val="맑은 고딕"/>
      <charset val="129"/>
      <family val="3"/>
      <b val="1"/>
      <sz val="11"/>
      <scheme val="maj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sz val="14"/>
      <scheme val="major"/>
    </font>
    <font>
      <name val="HY신명조"/>
      <charset val="129"/>
      <family val="1"/>
      <b val="1"/>
      <color rgb="FFFF0000"/>
      <sz val="12"/>
    </font>
    <font>
      <name val="맑은 고딕"/>
      <charset val="129"/>
      <family val="3"/>
      <b val="1"/>
      <color theme="0"/>
      <sz val="14"/>
      <scheme val="major"/>
    </font>
    <font>
      <name val="HY헤드라인M"/>
      <charset val="129"/>
      <family val="1"/>
      <b val="1"/>
      <color rgb="FF0070C0"/>
      <sz val="12"/>
    </font>
    <font>
      <name val="돋움"/>
      <charset val="129"/>
      <family val="3"/>
      <b val="1"/>
      <color rgb="FFFF0000"/>
      <sz val="12"/>
    </font>
    <font>
      <name val="맑은 고딕"/>
      <charset val="129"/>
      <family val="3"/>
      <sz val="8"/>
      <scheme val="maj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theme="1"/>
      <sz val="8"/>
      <scheme val="major"/>
    </font>
    <font>
      <name val="맑은 고딕"/>
      <charset val="129"/>
      <family val="3"/>
      <color theme="1"/>
      <sz val="8"/>
      <scheme val="major"/>
    </font>
    <font>
      <name val="HY신명조"/>
      <charset val="129"/>
      <family val="1"/>
      <color theme="1"/>
      <sz val="8"/>
    </font>
    <font>
      <name val="HY신명조"/>
      <charset val="129"/>
      <family val="1"/>
      <color theme="1"/>
      <sz val="11"/>
    </font>
    <font>
      <name val="맑은 고딕"/>
      <charset val="129"/>
      <family val="3"/>
      <b val="1"/>
      <sz val="10"/>
      <scheme val="major"/>
    </font>
    <font>
      <name val="맑은 고딕"/>
      <charset val="129"/>
      <family val="3"/>
      <b val="1"/>
      <color rgb="FF0070C0"/>
      <sz val="14"/>
      <scheme val="major"/>
    </font>
    <font>
      <name val="맑은 고딕"/>
      <charset val="129"/>
      <family val="3"/>
      <b val="1"/>
      <color rgb="FFFF0000"/>
      <sz val="16"/>
      <scheme val="minor"/>
    </font>
    <font>
      <name val="맑은 고딕"/>
      <charset val="129"/>
      <family val="3"/>
      <b val="1"/>
      <color rgb="FFFF0000"/>
      <sz val="14"/>
      <scheme val="major"/>
    </font>
    <font>
      <name val="맑은 고딕"/>
      <charset val="129"/>
      <family val="3"/>
      <b val="1"/>
      <color rgb="FF002060"/>
      <sz val="14"/>
      <scheme val="major"/>
    </font>
    <font>
      <name val="돋움"/>
      <charset val="129"/>
      <family val="3"/>
      <b val="1"/>
      <color theme="0"/>
      <sz val="10"/>
    </font>
    <font>
      <name val="휴먼둥근헤드라인"/>
      <charset val="129"/>
      <family val="1"/>
      <color theme="7" tint="-0.249977111117893"/>
      <sz val="20"/>
    </font>
    <font>
      <name val="돋움"/>
      <charset val="129"/>
      <family val="3"/>
      <b val="1"/>
      <color theme="1"/>
      <sz val="10"/>
    </font>
    <font>
      <name val="맑은 고딕"/>
      <charset val="129"/>
      <family val="3"/>
      <color theme="0"/>
      <sz val="11"/>
      <scheme val="major"/>
    </font>
    <font>
      <name val="맑은 고딕"/>
      <charset val="129"/>
      <family val="3"/>
      <color rgb="FFFF0000"/>
      <sz val="11"/>
      <scheme val="major"/>
    </font>
    <font>
      <name val="맑은 고딕"/>
      <charset val="129"/>
      <family val="3"/>
      <b val="1"/>
      <color rgb="FF002060"/>
      <sz val="11"/>
      <scheme val="major"/>
    </font>
    <font>
      <name val="맑은 고딕"/>
      <charset val="129"/>
      <family val="3"/>
      <b val="1"/>
      <color theme="0"/>
      <sz val="11"/>
      <scheme val="major"/>
    </font>
    <font>
      <name val="맑은 고딕"/>
      <charset val="129"/>
      <family val="3"/>
      <b val="1"/>
      <color theme="1"/>
      <sz val="10"/>
      <scheme val="major"/>
    </font>
    <font>
      <name val="돋움"/>
      <charset val="129"/>
      <family val="3"/>
      <color theme="1"/>
      <sz val="9"/>
    </font>
    <font>
      <name val="굴림"/>
      <charset val="129"/>
      <family val="3"/>
      <color rgb="FF000000"/>
      <sz val="8"/>
    </font>
    <font>
      <name val="맑은 고딕"/>
      <charset val="129"/>
      <family val="3"/>
      <b val="1"/>
      <color rgb="FFFF0000"/>
      <sz val="12"/>
      <scheme val="major"/>
    </font>
    <font>
      <name val="맑은 고딕"/>
      <charset val="129"/>
      <family val="3"/>
      <b val="1"/>
      <sz val="13"/>
      <scheme val="major"/>
    </font>
    <font>
      <name val="휴먼둥근헤드라인"/>
      <charset val="129"/>
      <family val="1"/>
      <color rgb="FF000000"/>
      <sz val="36"/>
    </font>
    <font>
      <name val="맑은 고딕"/>
      <charset val="129"/>
      <family val="3"/>
      <b val="1"/>
      <color rgb="FF000000"/>
      <sz val="10"/>
      <scheme val="minor"/>
    </font>
    <font>
      <name val="맑은 고딕"/>
      <charset val="129"/>
      <family val="3"/>
      <b val="1"/>
      <color rgb="FF000000"/>
      <sz val="20"/>
      <scheme val="minor"/>
    </font>
    <font>
      <name val="맑은 고딕"/>
      <charset val="129"/>
      <family val="3"/>
      <color rgb="FF000000"/>
      <sz val="9"/>
    </font>
    <font>
      <name val="맑은 고딕"/>
      <charset val="129"/>
      <family val="3"/>
      <b val="1"/>
      <color rgb="FF0E1C2C"/>
      <sz val="9"/>
      <scheme val="minor"/>
    </font>
    <font>
      <name val="맑은 고딕"/>
      <charset val="129"/>
      <family val="3"/>
      <b val="1"/>
      <color theme="1"/>
      <sz val="20"/>
      <scheme val="major"/>
    </font>
    <font>
      <name val="맑은 고딕"/>
      <charset val="129"/>
      <family val="3"/>
      <color rgb="FFFF0000"/>
      <sz val="10"/>
      <scheme val="minor"/>
    </font>
    <font>
      <name val="맑은 고딕"/>
      <charset val="129"/>
      <family val="3"/>
      <b val="1"/>
      <color rgb="FFFF0000"/>
      <sz val="10"/>
      <scheme val="minor"/>
    </font>
    <font>
      <name val="HY견명조"/>
      <charset val="129"/>
      <family val="1"/>
      <b val="1"/>
      <color theme="1"/>
      <sz val="14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color rgb="FFFF0000"/>
      <sz val="8"/>
      <scheme val="minor"/>
    </font>
    <font>
      <name val="맑은 고딕"/>
      <charset val="129"/>
      <family val="3"/>
      <b val="1"/>
      <color theme="1"/>
      <sz val="10"/>
    </font>
    <font>
      <name val="맑은 고딕"/>
      <charset val="129"/>
      <family val="3"/>
      <b val="1"/>
      <color theme="1"/>
      <sz val="14"/>
      <u val="single"/>
      <scheme val="minor"/>
    </font>
    <font>
      <name val="맑은 고딕"/>
      <charset val="129"/>
      <family val="3"/>
      <b val="1"/>
      <color theme="1"/>
      <sz val="11"/>
    </font>
    <font>
      <name val="맑은 고딕"/>
      <charset val="129"/>
      <family val="3"/>
      <b val="1"/>
      <color theme="3" tint="0.3999755851924192"/>
      <sz val="11"/>
      <scheme val="minor"/>
    </font>
    <font>
      <name val="HY견명조"/>
      <charset val="129"/>
      <family val="1"/>
      <b val="1"/>
      <color theme="1"/>
      <sz val="11"/>
    </font>
    <font>
      <name val="맑은 고딕"/>
      <charset val="129"/>
      <family val="3"/>
      <b val="1"/>
      <color rgb="FFC00000"/>
      <sz val="11"/>
      <scheme val="minor"/>
    </font>
    <font>
      <name val="HY견명조"/>
      <charset val="129"/>
      <family val="1"/>
      <b val="1"/>
      <color theme="1"/>
      <sz val="10"/>
    </font>
    <font>
      <name val="HY견명조"/>
      <charset val="129"/>
      <family val="1"/>
      <color theme="1"/>
      <sz val="10"/>
    </font>
    <font>
      <name val="맑은 고딕"/>
      <charset val="129"/>
      <family val="3"/>
      <b val="1"/>
      <color theme="3" tint="0.7999816888943144"/>
      <sz val="10"/>
      <scheme val="major"/>
    </font>
    <font>
      <name val="Arial"/>
      <family val="2"/>
      <b val="1"/>
      <color theme="1"/>
      <sz val="10"/>
    </font>
    <font>
      <name val="Britannic Bold"/>
      <family val="2"/>
      <color theme="1"/>
      <sz val="12"/>
    </font>
    <font>
      <name val="맑은 고딕"/>
      <charset val="129"/>
      <family val="3"/>
      <b val="1"/>
      <color theme="4" tint="0.5999938962981048"/>
      <sz val="10"/>
      <scheme val="major"/>
    </font>
    <font>
      <name val="맑은 고딕"/>
      <charset val="129"/>
      <family val="3"/>
      <b val="1"/>
      <color rgb="FF0070C0"/>
      <sz val="10"/>
      <scheme val="major"/>
    </font>
    <font>
      <name val="Arial"/>
      <family val="2"/>
      <color theme="1"/>
      <sz val="10"/>
    </font>
    <font>
      <name val="맑은 고딕"/>
      <charset val="129"/>
      <family val="3"/>
      <b val="1"/>
      <color theme="0" tint="-0.0499893185216834"/>
      <sz val="10"/>
      <scheme val="minor"/>
    </font>
    <font>
      <name val="맑은 고딕"/>
      <charset val="129"/>
      <family val="3"/>
      <b val="1"/>
      <color theme="0" tint="-0.0499893185216834"/>
      <sz val="10"/>
      <scheme val="major"/>
    </font>
    <font>
      <name val="맑은 고딕"/>
      <charset val="129"/>
      <family val="3"/>
      <b val="1"/>
      <color rgb="FFFF0000"/>
      <sz val="12"/>
      <scheme val="minor"/>
    </font>
    <font>
      <name val="휴먼둥근헤드라인"/>
      <charset val="129"/>
      <family val="1"/>
      <color rgb="FFFF0000"/>
      <sz val="11"/>
    </font>
    <font>
      <name val="맑은 고딕"/>
      <charset val="129"/>
      <family val="3"/>
      <sz val="11"/>
      <scheme val="major"/>
    </font>
    <font>
      <name val="Book Antiqua"/>
      <family val="1"/>
      <color theme="1"/>
      <sz val="9"/>
    </font>
    <font>
      <name val="Book Antiqua"/>
      <family val="1"/>
      <color theme="1"/>
      <sz val="9"/>
      <vertAlign val="superscript"/>
    </font>
    <font>
      <name val="맑은 고딕"/>
      <charset val="129"/>
      <family val="3"/>
      <b val="1"/>
      <color theme="1"/>
      <sz val="9"/>
    </font>
    <font>
      <name val="바탕"/>
      <charset val="129"/>
      <family val="1"/>
      <color theme="1"/>
      <sz val="9"/>
    </font>
    <font>
      <name val="맑은 고딕"/>
      <charset val="129"/>
      <family val="3"/>
      <color theme="1"/>
      <sz val="9"/>
    </font>
    <font>
      <name val="맑은 고딕"/>
      <charset val="129"/>
      <family val="3"/>
      <color theme="1"/>
      <sz val="8"/>
    </font>
    <font>
      <name val="맑은 고딕"/>
      <charset val="129"/>
      <family val="3"/>
      <color theme="1"/>
      <sz val="10"/>
      <vertAlign val="superscript"/>
    </font>
    <font>
      <name val="맑은 고딕"/>
      <charset val="129"/>
      <family val="3"/>
      <b val="1"/>
      <color theme="1"/>
      <sz val="12"/>
    </font>
    <font>
      <name val="맑은 고딕"/>
      <charset val="129"/>
      <family val="3"/>
      <color theme="1"/>
      <sz val="11"/>
      <vertAlign val="superscript"/>
    </font>
    <font>
      <name val="맑은 고딕"/>
      <charset val="129"/>
      <family val="3"/>
      <color theme="1"/>
      <sz val="9"/>
      <vertAlign val="subscript"/>
    </font>
    <font>
      <name val="맑은 고딕"/>
      <charset val="129"/>
      <family val="3"/>
      <color theme="1"/>
      <sz val="9"/>
      <vertAlign val="superscript"/>
    </font>
    <font>
      <name val="HY헤드라인M"/>
      <charset val="129"/>
      <family val="1"/>
      <color rgb="FF000000"/>
      <sz val="36"/>
    </font>
    <font>
      <name val="HY헤드라인M"/>
      <charset val="129"/>
      <family val="1"/>
      <color indexed="8"/>
      <sz val="36"/>
    </font>
    <font>
      <name val="돋움"/>
      <charset val="129"/>
      <family val="3"/>
      <b val="1"/>
      <color rgb="FF002060"/>
      <sz val="11"/>
    </font>
    <font>
      <name val="돋움"/>
      <charset val="129"/>
      <family val="3"/>
      <b val="1"/>
      <color rgb="FFFF0000"/>
      <sz val="9"/>
    </font>
    <font>
      <name val="맑은 고딕"/>
      <charset val="129"/>
      <family val="3"/>
      <b val="1"/>
      <color rgb="FFFF0000"/>
      <sz val="10"/>
      <scheme val="major"/>
    </font>
    <font>
      <name val="HY신명조"/>
      <charset val="129"/>
      <family val="1"/>
      <b val="1"/>
      <color rgb="FFFF0000"/>
      <sz val="11"/>
    </font>
    <font>
      <name val="맑은 고딕"/>
      <charset val="129"/>
      <family val="3"/>
      <b val="1"/>
      <sz val="12"/>
      <scheme val="major"/>
    </font>
    <font>
      <name val="돋움"/>
      <charset val="129"/>
      <family val="3"/>
      <b val="1"/>
      <color rgb="FF002060"/>
      <sz val="10"/>
    </font>
    <font>
      <name val="맑은 고딕"/>
      <charset val="129"/>
      <family val="3"/>
      <color theme="0"/>
      <sz val="11"/>
      <scheme val="minor"/>
    </font>
    <font>
      <name val="돋움"/>
      <charset val="129"/>
      <family val="3"/>
      <b val="1"/>
      <color rgb="FFFF0000"/>
      <sz val="14"/>
    </font>
    <font>
      <name val="HY신명조"/>
      <charset val="129"/>
      <family val="1"/>
      <b val="1"/>
      <color rgb="FF002060"/>
      <sz val="11"/>
    </font>
    <font>
      <name val="맑은 고딕"/>
      <charset val="129"/>
      <family val="3"/>
      <b val="1"/>
      <color rgb="FFFF0000"/>
      <sz val="8"/>
      <scheme val="minor"/>
    </font>
    <font>
      <name val="맑은 고딕"/>
      <charset val="129"/>
      <family val="3"/>
      <color theme="1"/>
      <sz val="7.7"/>
    </font>
    <font>
      <name val="맑은 고딕"/>
      <charset val="129"/>
      <family val="3"/>
      <color rgb="FFFF0000"/>
      <sz val="11"/>
    </font>
    <font>
      <name val="돋움"/>
      <charset val="129"/>
      <family val="3"/>
      <b val="1"/>
      <color rgb="FFFF0000"/>
      <sz val="18"/>
    </font>
    <font>
      <name val="맑은 고딕"/>
      <charset val="129"/>
      <family val="3"/>
      <b val="1"/>
      <color rgb="FFFF0000"/>
      <sz val="14"/>
      <scheme val="minor"/>
    </font>
    <font>
      <name val="맑은 고딕"/>
      <charset val="129"/>
      <family val="3"/>
      <color rgb="FF000000"/>
      <sz val="9"/>
      <scheme val="major"/>
    </font>
    <font>
      <name val="맑은 고딕"/>
      <charset val="129"/>
      <family val="3"/>
      <b val="1"/>
      <color theme="1"/>
      <sz val="18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2"/>
      <color theme="1"/>
      <sz val="11"/>
    </font>
    <font>
      <name val="맑은 고딕"/>
      <charset val="129"/>
      <family val="3"/>
      <color theme="1"/>
      <sz val="12"/>
    </font>
    <font>
      <name val="맑은 고딕"/>
      <charset val="129"/>
      <family val="3"/>
      <b val="1"/>
      <color theme="0"/>
      <sz val="10"/>
      <scheme val="maj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3"/>
      <color theme="1"/>
      <sz val="11"/>
      <vertAlign val="superscript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color rgb="FFFF0000"/>
      <sz val="16"/>
      <scheme val="minor"/>
    </font>
    <font>
      <name val="맑은 고딕"/>
      <charset val="129"/>
      <family val="3"/>
      <color theme="1"/>
      <sz val="14"/>
    </font>
    <font>
      <name val="돋움"/>
      <charset val="129"/>
      <family val="3"/>
      <color indexed="17"/>
      <sz val="10"/>
    </font>
    <font>
      <name val="돋움"/>
      <charset val="129"/>
      <family val="3"/>
      <b val="1"/>
      <color indexed="17"/>
      <sz val="18"/>
    </font>
    <font>
      <name val="돋움"/>
      <charset val="129"/>
      <family val="3"/>
      <b val="1"/>
      <color indexed="17"/>
      <sz val="13"/>
    </font>
    <font>
      <name val="돋움"/>
      <charset val="129"/>
      <family val="3"/>
      <color indexed="57"/>
      <sz val="9"/>
    </font>
    <font>
      <name val="돋움"/>
      <charset val="129"/>
      <family val="3"/>
      <sz val="12"/>
    </font>
    <font>
      <name val="돋움"/>
      <charset val="129"/>
      <family val="3"/>
      <b val="1"/>
      <sz val="11"/>
      <u val="single"/>
    </font>
    <font>
      <name val="맑은 고딕"/>
      <charset val="129"/>
      <family val="3"/>
      <color rgb="FF000000"/>
      <sz val="13"/>
      <scheme val="major"/>
    </font>
    <font>
      <name val="맑은 고딕"/>
      <charset val="129"/>
      <family val="3"/>
      <color rgb="FF000000"/>
      <sz val="13"/>
      <vertAlign val="subscript"/>
      <scheme val="major"/>
    </font>
    <font>
      <name val="맑은 고딕"/>
      <charset val="129"/>
      <family val="3"/>
      <color theme="1"/>
      <sz val="13"/>
      <scheme val="minor"/>
    </font>
    <font>
      <name val="맑은 고딕"/>
      <charset val="129"/>
      <family val="3"/>
      <color rgb="FF000000"/>
      <sz val="13"/>
      <vertAlign val="superscript"/>
      <scheme val="major"/>
    </font>
    <font>
      <name val="굴림"/>
      <charset val="129"/>
      <family val="3"/>
      <color rgb="FF000000"/>
      <sz val="10"/>
    </font>
    <font>
      <name val="굴림"/>
      <charset val="129"/>
      <family val="3"/>
      <color indexed="8"/>
      <sz val="10"/>
    </font>
    <font>
      <name val="굴림"/>
      <charset val="129"/>
      <family val="3"/>
      <color rgb="FF000000"/>
      <sz val="9"/>
    </font>
    <font>
      <name val="맑은 고딕"/>
      <charset val="129"/>
      <family val="3"/>
      <b val="1"/>
      <color rgb="FF002060"/>
      <sz val="20"/>
      <scheme val="maj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color rgb="FFFF0000"/>
      <sz val="12"/>
      <scheme val="minor"/>
    </font>
    <font>
      <name val="맑은 고딕"/>
      <charset val="129"/>
      <family val="3"/>
      <color rgb="FF000000"/>
      <sz val="11"/>
      <scheme val="major"/>
    </font>
    <font>
      <name val="돋움"/>
      <charset val="129"/>
      <family val="3"/>
      <b val="1"/>
      <color rgb="FFFF0000"/>
      <sz val="16"/>
    </font>
    <font>
      <name val="맑은 고딕"/>
      <charset val="129"/>
      <family val="3"/>
      <b val="1"/>
      <color rgb="FFFF0000"/>
      <sz val="26"/>
      <scheme val="minor"/>
    </font>
    <font>
      <name val="맑은 고딕"/>
      <charset val="129"/>
      <family val="3"/>
      <color theme="0"/>
      <sz val="14"/>
      <scheme val="minor"/>
    </font>
    <font>
      <name val="HY견고딕"/>
      <charset val="129"/>
      <family val="1"/>
      <color theme="1"/>
      <sz val="11"/>
    </font>
    <font>
      <name val="HY견고딕"/>
      <charset val="129"/>
      <family val="1"/>
      <color theme="1"/>
      <sz val="14"/>
    </font>
    <font>
      <name val="HY견고딕"/>
      <charset val="129"/>
      <family val="1"/>
      <color theme="1"/>
      <sz val="12"/>
    </font>
    <font>
      <name val="HY견고딕"/>
      <charset val="129"/>
      <family val="1"/>
      <b val="1"/>
      <color theme="1"/>
      <sz val="20"/>
    </font>
    <font>
      <name val="HY견고딕"/>
      <charset val="129"/>
      <family val="1"/>
      <b val="1"/>
      <color theme="1"/>
      <sz val="11"/>
    </font>
    <font>
      <name val="HY견고딕"/>
      <charset val="129"/>
      <family val="1"/>
      <color rgb="FFFF0000"/>
      <sz val="10"/>
    </font>
    <font>
      <name val="HY견고딕"/>
      <charset val="129"/>
      <family val="1"/>
      <b val="1"/>
      <color theme="5"/>
      <sz val="12"/>
    </font>
    <font>
      <name val="HY견고딕"/>
      <charset val="129"/>
      <family val="1"/>
      <b val="1"/>
      <sz val="9"/>
    </font>
    <font>
      <name val="돋움"/>
      <charset val="129"/>
      <family val="3"/>
      <color rgb="FF000000"/>
      <sz val="9"/>
    </font>
    <font>
      <name val="돋움"/>
      <charset val="129"/>
      <family val="3"/>
      <color rgb="FF0000FF"/>
      <sz val="9"/>
    </font>
    <font>
      <name val="맑은 고딕"/>
      <charset val="129"/>
      <family val="3"/>
      <color rgb="FF0000FF"/>
      <sz val="9"/>
      <scheme val="minor"/>
    </font>
    <font>
      <name val="돋움체"/>
      <charset val="129"/>
      <family val="3"/>
      <color rgb="FF000000"/>
      <sz val="10"/>
    </font>
    <font>
      <name val="돋움"/>
      <charset val="129"/>
      <family val="3"/>
      <color rgb="FF000000"/>
      <sz val="10"/>
    </font>
    <font>
      <name val="돋움체"/>
      <charset val="129"/>
      <family val="3"/>
      <color rgb="FF4C4C4C"/>
      <sz val="8"/>
    </font>
    <font>
      <name val="맑은 고딕"/>
      <charset val="129"/>
      <family val="3"/>
      <color rgb="FF4C4C4C"/>
      <sz val="8"/>
      <scheme val="minor"/>
    </font>
    <font>
      <name val="돋움체"/>
      <charset val="129"/>
      <family val="3"/>
      <color rgb="FF5D5D5D"/>
      <sz val="8"/>
    </font>
    <font>
      <name val="맑은 고딕"/>
      <charset val="129"/>
      <family val="3"/>
      <color rgb="FF5D5D5D"/>
      <sz val="8"/>
      <scheme val="minor"/>
    </font>
    <font>
      <name val="맑은 고딕"/>
      <charset val="129"/>
      <family val="3"/>
      <b val="1"/>
      <color rgb="FF000000"/>
      <sz val="13"/>
      <scheme val="minor"/>
    </font>
    <font>
      <name val="돋움체"/>
      <charset val="129"/>
      <family val="3"/>
      <b val="1"/>
      <color rgb="FF000000"/>
      <sz val="13"/>
    </font>
    <font>
      <name val="돋움체"/>
      <charset val="129"/>
      <family val="3"/>
      <color rgb="FF000000"/>
      <sz val="8"/>
    </font>
    <font>
      <name val="맑은 고딕"/>
      <charset val="129"/>
      <family val="3"/>
      <color rgb="FF000000"/>
      <sz val="8"/>
      <scheme val="minor"/>
    </font>
    <font>
      <name val="돋움"/>
      <charset val="129"/>
      <family val="3"/>
      <b val="1"/>
      <color indexed="17"/>
      <sz val="10"/>
    </font>
    <font>
      <name val="굴림체"/>
      <charset val="129"/>
      <family val="3"/>
      <sz val="11"/>
    </font>
    <font>
      <name val="맑은 고딕"/>
      <charset val="129"/>
      <family val="3"/>
      <b val="1"/>
      <sz val="15"/>
      <scheme val="major"/>
    </font>
    <font>
      <name val="맑은 고딕"/>
      <charset val="129"/>
      <family val="3"/>
      <b val="1"/>
      <sz val="36"/>
      <scheme val="major"/>
    </font>
    <font>
      <name val="굴림체"/>
      <charset val="129"/>
      <family val="3"/>
      <sz val="8"/>
    </font>
    <font>
      <name val="맑은 고딕"/>
      <charset val="129"/>
      <family val="3"/>
      <b val="1"/>
      <sz val="16"/>
      <scheme val="major"/>
    </font>
    <font>
      <name val="굴림체"/>
      <charset val="129"/>
      <family val="3"/>
      <b val="1"/>
      <sz val="16"/>
      <u val="single"/>
    </font>
    <font>
      <name val="굴림체"/>
      <charset val="129"/>
      <family val="3"/>
      <b val="1"/>
      <sz val="11"/>
    </font>
    <font>
      <name val="맑은 고딕"/>
      <charset val="129"/>
      <family val="3"/>
      <b val="1"/>
      <color rgb="FF002060"/>
      <sz val="10"/>
      <scheme val="major"/>
    </font>
    <font>
      <name val="맑은 고딕"/>
      <charset val="129"/>
      <family val="3"/>
      <b val="1"/>
      <color theme="1"/>
      <sz val="8"/>
      <scheme val="minor"/>
    </font>
    <font>
      <name val="굴림"/>
      <charset val="129"/>
      <family val="3"/>
      <color theme="1"/>
      <sz val="6"/>
    </font>
    <font>
      <name val="굴림"/>
      <charset val="129"/>
      <family val="3"/>
      <color theme="1"/>
      <sz val="6"/>
      <vertAlign val="subscript"/>
    </font>
    <font>
      <name val="굴림"/>
      <charset val="129"/>
      <family val="3"/>
      <b val="1"/>
      <color theme="1"/>
      <sz val="8"/>
    </font>
    <font>
      <name val="굴림"/>
      <charset val="129"/>
      <family val="3"/>
      <color theme="1"/>
      <sz val="8"/>
    </font>
    <font>
      <name val="맑은 고딕"/>
      <charset val="129"/>
      <family val="3"/>
      <color theme="1"/>
      <sz val="6"/>
      <scheme val="minor"/>
    </font>
    <font>
      <name val="맑은 고딕"/>
      <charset val="129"/>
      <family val="3"/>
      <color theme="0"/>
      <sz val="12"/>
      <scheme val="minor"/>
    </font>
    <font>
      <name val="맑은 고딕"/>
      <charset val="129"/>
      <family val="3"/>
      <color theme="10"/>
      <sz val="11"/>
      <u val="single"/>
      <scheme val="minor"/>
    </font>
    <font>
      <name val="돋움"/>
      <charset val="129"/>
      <family val="3"/>
      <color indexed="17"/>
      <sz val="9"/>
    </font>
    <font>
      <name val="맑은 고딕"/>
      <charset val="129"/>
      <family val="3"/>
      <color theme="1"/>
      <sz val="7"/>
      <scheme val="minor"/>
    </font>
    <font>
      <name val="돋움"/>
      <charset val="129"/>
      <family val="3"/>
      <b val="1"/>
      <sz val="8.5"/>
    </font>
    <font>
      <name val="돋움"/>
      <charset val="129"/>
      <family val="3"/>
      <sz val="8.5"/>
    </font>
    <font>
      <name val="맑은 고딕"/>
      <charset val="129"/>
      <family val="3"/>
      <color rgb="FF0E1C2C"/>
      <sz val="10"/>
      <scheme val="major"/>
    </font>
    <font>
      <name val="맑은 고딕"/>
      <charset val="129"/>
      <family val="3"/>
      <color rgb="FF000000"/>
      <sz val="10"/>
      <scheme val="major"/>
    </font>
    <font>
      <name val="맑은 고딕"/>
      <charset val="129"/>
      <family val="3"/>
      <b val="1"/>
      <color rgb="FF000000"/>
      <sz val="9"/>
    </font>
    <font>
      <name val="돋움"/>
      <charset val="129"/>
      <family val="3"/>
      <color theme="10"/>
      <sz val="10"/>
      <u val="single"/>
    </font>
    <font>
      <name val="맑은 고딕"/>
      <charset val="129"/>
      <family val="3"/>
      <b val="1"/>
      <color rgb="FFFF0000"/>
      <sz val="9"/>
      <scheme val="minor"/>
    </font>
    <font>
      <name val="함초롬돋움"/>
      <charset val="129"/>
      <family val="1"/>
      <b val="1"/>
      <color rgb="FFFF0000"/>
      <sz val="9"/>
    </font>
    <font>
      <name val="맑은 고딕"/>
      <charset val="129"/>
      <family val="3"/>
      <b val="1"/>
      <color theme="0"/>
      <sz val="12"/>
      <scheme val="major"/>
    </font>
    <font>
      <name val="돋움"/>
      <charset val="129"/>
      <family val="3"/>
      <color rgb="FFFF0000"/>
      <sz val="10"/>
    </font>
    <font>
      <name val="맑은 고딕"/>
      <charset val="129"/>
      <family val="3"/>
      <b val="1"/>
      <color rgb="FF000000"/>
      <sz val="11"/>
      <scheme val="minor"/>
    </font>
    <font>
      <name val="맑은 고딕"/>
      <charset val="129"/>
      <family val="3"/>
      <color rgb="FF000000"/>
      <sz val="7"/>
      <scheme val="minor"/>
    </font>
    <font>
      <name val="Malgun Gothic"/>
      <charset val="129"/>
      <family val="3"/>
      <b val="1"/>
      <color theme="1"/>
      <sz val="12"/>
    </font>
    <font>
      <name val="&quot;Malgun Gothic&quot;"/>
      <b val="1"/>
      <color rgb="FF000000"/>
      <sz val="12"/>
    </font>
    <font>
      <name val="Malgun Gothic"/>
      <charset val="129"/>
      <family val="3"/>
      <color theme="1"/>
      <sz val="11"/>
    </font>
    <font>
      <name val="&quot;Malgun Gothic&quot;"/>
      <color rgb="FF000000"/>
      <sz val="11"/>
    </font>
    <font>
      <name val="맑은 고딕"/>
      <charset val="129"/>
      <family val="3"/>
      <color rgb="FF000000"/>
      <sz val="11"/>
    </font>
    <font>
      <name val="Malgun Gothic"/>
      <charset val="129"/>
      <family val="3"/>
      <color rgb="FF000000"/>
      <sz val="11"/>
    </font>
    <font>
      <name val="맑은 고딕"/>
      <family val="2"/>
      <color rgb="FF000000"/>
      <sz val="10"/>
      <scheme val="minor"/>
    </font>
    <font>
      <name val="&quot;\&quot;Malgun Gothic\&quot;&quot;"/>
      <color rgb="FF000000"/>
      <sz val="11"/>
    </font>
    <font>
      <name val="Calibri"/>
      <family val="2"/>
      <color rgb="FF000000"/>
      <sz val="10"/>
    </font>
    <font>
      <name val="맑은 고딕"/>
      <family val="2"/>
      <color theme="1"/>
      <sz val="10"/>
      <scheme val="minor"/>
    </font>
    <font>
      <name val="굴림"/>
      <charset val="129"/>
      <family val="3"/>
      <b val="1"/>
      <sz val="10"/>
    </font>
    <font>
      <name val="돋움"/>
      <charset val="129"/>
      <family val="3"/>
      <color theme="0"/>
      <sz val="10"/>
    </font>
    <font>
      <name val="돋움"/>
      <charset val="129"/>
      <family val="3"/>
      <b val="1"/>
      <color indexed="81"/>
      <sz val="10"/>
    </font>
    <font>
      <name val="Tahoma"/>
      <family val="2"/>
      <b val="1"/>
      <color indexed="81"/>
      <sz val="10"/>
    </font>
    <font>
      <name val="돋움"/>
      <charset val="129"/>
      <family val="3"/>
      <color rgb="FF000000"/>
      <sz val="11"/>
    </font>
    <font>
      <name val="HY궁서B"/>
      <charset val="129"/>
      <family val="1"/>
      <sz val="12"/>
    </font>
    <font>
      <name val="맑은 고딕"/>
      <charset val="129"/>
      <family val="3"/>
      <b val="1"/>
      <color rgb="FFFF0000"/>
      <sz val="9"/>
      <u val="single"/>
      <scheme val="minor"/>
    </font>
    <font>
      <name val="맑은 고딕"/>
      <charset val="129"/>
      <family val="3"/>
      <b val="1"/>
      <color theme="1"/>
      <sz val="9"/>
      <u val="single"/>
      <scheme val="minor"/>
    </font>
    <font>
      <name val="맑은 고딕"/>
      <charset val="129"/>
      <family val="3"/>
      <sz val="9"/>
      <scheme val="minor"/>
    </font>
    <font>
      <name val="&quot;맑은 고딕&quot;"/>
      <charset val="129"/>
      <family val="3"/>
      <color rgb="FF000000"/>
      <sz val="10"/>
    </font>
    <font>
      <name val="돋움"/>
      <charset val="129"/>
      <family val="3"/>
      <color rgb="FF222222"/>
      <sz val="11"/>
    </font>
    <font>
      <name val="돋움"/>
      <charset val="129"/>
      <family val="3"/>
      <color rgb="FF222222"/>
      <sz val="10"/>
    </font>
    <font>
      <name val="맑은 고딕"/>
      <charset val="129"/>
      <family val="3"/>
      <color rgb="FF002060"/>
      <sz val="10"/>
      <scheme val="major"/>
    </font>
    <font>
      <name val="&quot;맑은 고딕&quot;"/>
      <charset val="129"/>
      <family val="3"/>
      <color rgb="FF000000"/>
      <sz val="11"/>
    </font>
    <font>
      <name val="Arial"/>
      <family val="2"/>
      <color rgb="FF000000"/>
      <sz val="11"/>
    </font>
  </fonts>
  <fills count="32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37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/>
      <diagonal/>
    </border>
    <border>
      <left style="dashed">
        <color indexed="64"/>
      </left>
      <right/>
      <top/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hair">
        <color indexed="64"/>
      </top>
      <bottom style="dotted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/>
      <top/>
      <bottom/>
      <diagonal/>
    </border>
    <border>
      <left style="dashed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hair">
        <color indexed="64"/>
      </bottom>
      <diagonal/>
    </border>
    <border>
      <left style="medium">
        <color indexed="17"/>
      </left>
      <right/>
      <top style="medium">
        <color indexed="17"/>
      </top>
      <bottom style="hair">
        <color indexed="17"/>
      </bottom>
      <diagonal/>
    </border>
    <border>
      <left/>
      <right/>
      <top style="medium">
        <color indexed="17"/>
      </top>
      <bottom style="hair">
        <color indexed="17"/>
      </bottom>
      <diagonal/>
    </border>
    <border>
      <left/>
      <right style="hair">
        <color indexed="17"/>
      </right>
      <top style="medium">
        <color indexed="17"/>
      </top>
      <bottom style="hair">
        <color indexed="17"/>
      </bottom>
      <diagonal/>
    </border>
    <border>
      <left/>
      <right/>
      <top style="medium">
        <color indexed="17"/>
      </top>
      <bottom/>
      <diagonal/>
    </border>
    <border>
      <left/>
      <right style="medium">
        <color indexed="17"/>
      </right>
      <top style="medium">
        <color indexed="17"/>
      </top>
      <bottom/>
      <diagonal/>
    </border>
    <border>
      <left style="medium">
        <color indexed="17"/>
      </left>
      <right/>
      <top style="hair">
        <color indexed="17"/>
      </top>
      <bottom style="medium">
        <color indexed="17"/>
      </bottom>
      <diagonal/>
    </border>
    <border>
      <left/>
      <right/>
      <top style="hair">
        <color indexed="17"/>
      </top>
      <bottom style="medium">
        <color indexed="17"/>
      </bottom>
      <diagonal/>
    </border>
    <border>
      <left/>
      <right style="hair">
        <color indexed="17"/>
      </right>
      <top style="hair">
        <color indexed="17"/>
      </top>
      <bottom style="medium">
        <color indexed="17"/>
      </bottom>
      <diagonal/>
    </border>
    <border>
      <left/>
      <right/>
      <top/>
      <bottom style="medium">
        <color indexed="17"/>
      </bottom>
      <diagonal/>
    </border>
    <border>
      <left/>
      <right style="medium">
        <color indexed="17"/>
      </right>
      <top/>
      <bottom style="medium">
        <color indexed="17"/>
      </bottom>
      <diagonal/>
    </border>
    <border>
      <left style="medium">
        <color indexed="17"/>
      </left>
      <right style="hair">
        <color indexed="17"/>
      </right>
      <top style="medium">
        <color indexed="17"/>
      </top>
      <bottom style="hair">
        <color indexed="17"/>
      </bottom>
      <diagonal/>
    </border>
    <border>
      <left style="hair">
        <color indexed="17"/>
      </left>
      <right style="hair">
        <color indexed="17"/>
      </right>
      <top style="medium">
        <color indexed="17"/>
      </top>
      <bottom style="hair">
        <color indexed="17"/>
      </bottom>
      <diagonal/>
    </border>
    <border>
      <left style="hair">
        <color indexed="17"/>
      </left>
      <right/>
      <top style="medium">
        <color indexed="17"/>
      </top>
      <bottom/>
      <diagonal/>
    </border>
    <border>
      <left/>
      <right style="thin">
        <color indexed="17"/>
      </right>
      <top style="medium">
        <color indexed="17"/>
      </top>
      <bottom/>
      <diagonal/>
    </border>
    <border>
      <left style="hair">
        <color indexed="17"/>
      </left>
      <right style="hair">
        <color indexed="17"/>
      </right>
      <top style="medium">
        <color indexed="17"/>
      </top>
      <bottom/>
      <diagonal/>
    </border>
    <border>
      <left style="hair">
        <color indexed="17"/>
      </left>
      <right style="medium">
        <color indexed="17"/>
      </right>
      <top style="medium">
        <color indexed="17"/>
      </top>
      <bottom/>
      <diagonal/>
    </border>
    <border>
      <left style="medium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/>
      <top/>
      <bottom style="hair">
        <color indexed="17"/>
      </bottom>
      <diagonal/>
    </border>
    <border>
      <left/>
      <right/>
      <top/>
      <bottom style="hair">
        <color indexed="17"/>
      </bottom>
      <diagonal/>
    </border>
    <border>
      <left/>
      <right style="thin">
        <color indexed="17"/>
      </right>
      <top/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hair">
        <color indexed="17"/>
      </right>
      <top/>
      <bottom style="hair">
        <color indexed="17"/>
      </bottom>
      <diagonal/>
    </border>
    <border>
      <left style="hair">
        <color indexed="17"/>
      </left>
      <right style="medium">
        <color indexed="17"/>
      </right>
      <top/>
      <bottom style="hair">
        <color indexed="17"/>
      </bottom>
      <diagonal/>
    </border>
    <border>
      <left style="hair">
        <color indexed="17"/>
      </left>
      <right/>
      <top style="hair">
        <color indexed="17"/>
      </top>
      <bottom/>
      <diagonal/>
    </border>
    <border>
      <left/>
      <right/>
      <top style="hair">
        <color indexed="17"/>
      </top>
      <bottom/>
      <diagonal/>
    </border>
    <border>
      <left/>
      <right style="hair">
        <color indexed="17"/>
      </right>
      <top style="hair">
        <color indexed="17"/>
      </top>
      <bottom/>
      <diagonal/>
    </border>
    <border>
      <left/>
      <right style="thin">
        <color indexed="17"/>
      </right>
      <top style="hair">
        <color indexed="17"/>
      </top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/>
      <diagonal/>
    </border>
    <border>
      <left/>
      <right style="medium">
        <color indexed="17"/>
      </right>
      <top style="hair">
        <color indexed="17"/>
      </top>
      <bottom/>
      <diagonal/>
    </border>
    <border>
      <left/>
      <right style="hair">
        <color indexed="17"/>
      </right>
      <top/>
      <bottom style="hair">
        <color indexed="17"/>
      </bottom>
      <diagonal/>
    </border>
    <border>
      <left/>
      <right style="medium">
        <color indexed="17"/>
      </right>
      <top/>
      <bottom style="hair">
        <color indexed="17"/>
      </bottom>
      <diagonal/>
    </border>
    <border>
      <left style="hair">
        <color indexed="17"/>
      </left>
      <right style="medium">
        <color indexed="17"/>
      </right>
      <top style="hair">
        <color indexed="17"/>
      </top>
      <bottom style="hair">
        <color indexed="17"/>
      </bottom>
      <diagonal/>
    </border>
    <border>
      <left style="medium">
        <color indexed="17"/>
      </left>
      <right style="hair">
        <color indexed="17"/>
      </right>
      <top style="hair">
        <color indexed="17"/>
      </top>
      <bottom style="medium">
        <color indexed="17"/>
      </bottom>
      <diagonal/>
    </border>
    <border>
      <left style="hair">
        <color indexed="17"/>
      </left>
      <right style="hair">
        <color indexed="17"/>
      </right>
      <top style="hair">
        <color indexed="17"/>
      </top>
      <bottom style="medium">
        <color indexed="17"/>
      </bottom>
      <diagonal/>
    </border>
    <border>
      <left style="hair">
        <color indexed="17"/>
      </left>
      <right/>
      <top/>
      <bottom style="medium">
        <color indexed="17"/>
      </bottom>
      <diagonal/>
    </border>
    <border>
      <left/>
      <right style="thin">
        <color indexed="17"/>
      </right>
      <top/>
      <bottom style="medium">
        <color indexed="17"/>
      </bottom>
      <diagonal/>
    </border>
    <border>
      <left style="hair">
        <color indexed="17"/>
      </left>
      <right style="hair">
        <color indexed="17"/>
      </right>
      <top/>
      <bottom style="medium">
        <color indexed="17"/>
      </bottom>
      <diagonal/>
    </border>
    <border>
      <left style="hair">
        <color indexed="17"/>
      </left>
      <right style="medium">
        <color indexed="17"/>
      </right>
      <top style="hair">
        <color indexed="17"/>
      </top>
      <bottom/>
      <diagonal/>
    </border>
    <border>
      <left style="medium">
        <color indexed="17"/>
      </left>
      <right style="hair">
        <color indexed="17"/>
      </right>
      <top style="medium">
        <color indexed="17"/>
      </top>
      <bottom style="medium">
        <color indexed="17"/>
      </bottom>
      <diagonal/>
    </border>
    <border>
      <left style="hair">
        <color indexed="17"/>
      </left>
      <right style="hair">
        <color indexed="17"/>
      </right>
      <top style="medium">
        <color indexed="17"/>
      </top>
      <bottom style="medium">
        <color indexed="17"/>
      </bottom>
      <diagonal/>
    </border>
    <border>
      <left style="hair">
        <color indexed="17"/>
      </left>
      <right/>
      <top style="medium">
        <color indexed="17"/>
      </top>
      <bottom style="medium">
        <color indexed="17"/>
      </bottom>
      <diagonal/>
    </border>
    <border>
      <left/>
      <right/>
      <top style="medium">
        <color indexed="17"/>
      </top>
      <bottom style="medium">
        <color indexed="17"/>
      </bottom>
      <diagonal/>
    </border>
    <border>
      <left/>
      <right style="hair">
        <color indexed="17"/>
      </right>
      <top style="medium">
        <color indexed="17"/>
      </top>
      <bottom style="medium">
        <color indexed="17"/>
      </bottom>
      <diagonal/>
    </border>
    <border>
      <left style="hair">
        <color indexed="17"/>
      </left>
      <right style="medium">
        <color indexed="17"/>
      </right>
      <top style="medium">
        <color indexed="17"/>
      </top>
      <bottom style="medium">
        <color indexed="17"/>
      </bottom>
      <diagonal/>
    </border>
    <border>
      <left style="hair">
        <color indexed="17"/>
      </left>
      <right style="medium">
        <color indexed="17"/>
      </right>
      <top style="medium">
        <color indexed="17"/>
      </top>
      <bottom style="hair">
        <color indexed="17"/>
      </bottom>
      <diagonal/>
    </border>
    <border>
      <left style="hair">
        <color indexed="17"/>
      </left>
      <right/>
      <top style="hair">
        <color indexed="17"/>
      </top>
      <bottom style="medium">
        <color indexed="17"/>
      </bottom>
      <diagonal/>
    </border>
    <border>
      <left style="hair">
        <color indexed="17"/>
      </left>
      <right style="medium">
        <color indexed="17"/>
      </right>
      <top style="hair">
        <color indexed="17"/>
      </top>
      <bottom style="medium">
        <color indexed="17"/>
      </bottom>
      <diagonal/>
    </border>
    <border>
      <left/>
      <right style="hair">
        <color indexed="17"/>
      </right>
      <top style="medium">
        <color indexed="17"/>
      </top>
      <bottom/>
      <diagonal/>
    </border>
    <border>
      <left/>
      <right style="hair">
        <color indexed="17"/>
      </right>
      <top/>
      <bottom style="medium">
        <color indexed="17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939393"/>
      </right>
      <top style="thin">
        <color rgb="FF000000"/>
      </top>
      <bottom/>
      <diagonal/>
    </border>
    <border>
      <left style="thin">
        <color rgb="FF939393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939393"/>
      </right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939393"/>
      </right>
      <top/>
      <bottom/>
      <diagonal/>
    </border>
    <border>
      <left style="thin">
        <color rgb="FF939393"/>
      </left>
      <right/>
      <top/>
      <bottom style="thin">
        <color rgb="FF939393"/>
      </bottom>
      <diagonal/>
    </border>
    <border>
      <left/>
      <right/>
      <top/>
      <bottom style="thin">
        <color rgb="FF939393"/>
      </bottom>
      <diagonal/>
    </border>
    <border>
      <left/>
      <right style="thin">
        <color rgb="FF939393"/>
      </right>
      <top/>
      <bottom style="thin">
        <color rgb="FF939393"/>
      </bottom>
      <diagonal/>
    </border>
    <border>
      <left/>
      <right style="medium">
        <color indexed="64"/>
      </right>
      <top/>
      <bottom style="thin">
        <color rgb="FF939393"/>
      </bottom>
      <diagonal/>
    </border>
    <border>
      <left style="thin">
        <color rgb="FF939393"/>
      </left>
      <right/>
      <top style="thin">
        <color rgb="FF939393"/>
      </top>
      <bottom/>
      <diagonal/>
    </border>
    <border>
      <left/>
      <right/>
      <top style="thin">
        <color rgb="FF939393"/>
      </top>
      <bottom/>
      <diagonal/>
    </border>
    <border>
      <left/>
      <right style="thin">
        <color rgb="FF939393"/>
      </right>
      <top style="thin">
        <color rgb="FF939393"/>
      </top>
      <bottom/>
      <diagonal/>
    </border>
    <border>
      <left/>
      <right style="medium">
        <color indexed="64"/>
      </right>
      <top style="thin">
        <color rgb="FF939393"/>
      </top>
      <bottom/>
      <diagonal/>
    </border>
    <border>
      <left style="medium">
        <color indexed="64"/>
      </left>
      <right style="thin">
        <color rgb="FF939393"/>
      </right>
      <top/>
      <bottom style="thin">
        <color rgb="FF939393"/>
      </bottom>
      <diagonal/>
    </border>
    <border>
      <left style="thin">
        <color rgb="FF939393"/>
      </left>
      <right/>
      <top style="thin">
        <color rgb="FF939393"/>
      </top>
      <bottom style="thin">
        <color rgb="FF939393"/>
      </bottom>
      <diagonal/>
    </border>
    <border>
      <left/>
      <right/>
      <top style="thin">
        <color rgb="FF939393"/>
      </top>
      <bottom style="thin">
        <color rgb="FF939393"/>
      </bottom>
      <diagonal/>
    </border>
    <border>
      <left/>
      <right style="thin">
        <color rgb="FF939393"/>
      </right>
      <top style="thin">
        <color rgb="FF939393"/>
      </top>
      <bottom style="thin">
        <color rgb="FF939393"/>
      </bottom>
      <diagonal/>
    </border>
    <border>
      <left/>
      <right style="medium">
        <color indexed="64"/>
      </right>
      <top style="thin">
        <color rgb="FF939393"/>
      </top>
      <bottom style="thin">
        <color rgb="FF939393"/>
      </bottom>
      <diagonal/>
    </border>
    <border>
      <left style="medium">
        <color indexed="64"/>
      </left>
      <right/>
      <top style="thin">
        <color rgb="FF939393"/>
      </top>
      <bottom style="thin">
        <color rgb="FF000000"/>
      </bottom>
      <diagonal/>
    </border>
    <border>
      <left/>
      <right/>
      <top style="thin">
        <color rgb="FF939393"/>
      </top>
      <bottom style="thin">
        <color rgb="FF000000"/>
      </bottom>
      <diagonal/>
    </border>
    <border>
      <left/>
      <right style="thin">
        <color rgb="FF939393"/>
      </right>
      <top style="thin">
        <color rgb="FF939393"/>
      </top>
      <bottom style="thin">
        <color rgb="FF000000"/>
      </bottom>
      <diagonal/>
    </border>
    <border>
      <left style="thin">
        <color rgb="FF939393"/>
      </left>
      <right/>
      <top style="thin">
        <color rgb="FF939393"/>
      </top>
      <bottom style="thin">
        <color rgb="FF000000"/>
      </bottom>
      <diagonal/>
    </border>
    <border>
      <left/>
      <right style="medium">
        <color indexed="64"/>
      </right>
      <top style="thin">
        <color rgb="FF939393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thin">
        <color rgb="FF7F7F7F"/>
      </right>
      <top style="thin">
        <color rgb="FF000000"/>
      </top>
      <bottom/>
      <diagonal/>
    </border>
    <border>
      <left style="thin">
        <color rgb="FF7F7F7F"/>
      </left>
      <right style="thin">
        <color rgb="FF7F7F7F"/>
      </right>
      <top style="thin">
        <color rgb="FF000000"/>
      </top>
      <bottom/>
      <diagonal/>
    </border>
    <border>
      <left style="thin">
        <color rgb="FF7F7F7F"/>
      </left>
      <right/>
      <top style="thin">
        <color rgb="FF000000"/>
      </top>
      <bottom/>
      <diagonal/>
    </border>
    <border>
      <left/>
      <right style="thin">
        <color rgb="FF7F7F7F"/>
      </right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7F7F7F"/>
      </left>
      <right/>
      <top/>
      <bottom/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/>
      <diagonal/>
    </border>
    <border>
      <left/>
      <right style="thin">
        <color rgb="FF7F7F7F"/>
      </right>
      <top style="thin">
        <color rgb="FF7F7F7F"/>
      </top>
      <bottom/>
      <diagonal/>
    </border>
    <border>
      <left/>
      <right style="thin">
        <color rgb="FF7F7F7F"/>
      </right>
      <top/>
      <bottom style="thin">
        <color rgb="FF000000"/>
      </bottom>
      <diagonal/>
    </border>
    <border>
      <left style="thin">
        <color rgb="FF7F7F7F"/>
      </left>
      <right style="thin">
        <color rgb="FF7F7F7F"/>
      </right>
      <top/>
      <bottom style="thin">
        <color rgb="FF000000"/>
      </bottom>
      <diagonal/>
    </border>
    <border>
      <left style="thin">
        <color rgb="FF7F7F7F"/>
      </left>
      <right/>
      <top/>
      <bottom style="thin">
        <color rgb="FF000000"/>
      </bottom>
      <diagonal/>
    </border>
    <border>
      <left style="medium">
        <color indexed="64"/>
      </left>
      <right/>
      <top/>
      <bottom style="thick">
        <color rgb="FF939393"/>
      </bottom>
      <diagonal/>
    </border>
    <border>
      <left/>
      <right/>
      <top/>
      <bottom style="thick">
        <color rgb="FF939393"/>
      </bottom>
      <diagonal/>
    </border>
    <border>
      <left/>
      <right style="medium">
        <color indexed="64"/>
      </right>
      <top/>
      <bottom style="thick">
        <color rgb="FF939393"/>
      </bottom>
      <diagonal/>
    </border>
    <border>
      <left style="medium">
        <color indexed="64"/>
      </left>
      <right/>
      <top style="thick">
        <color rgb="FF939393"/>
      </top>
      <bottom style="medium">
        <color indexed="64"/>
      </bottom>
      <diagonal/>
    </border>
    <border>
      <left/>
      <right/>
      <top style="thick">
        <color rgb="FF939393"/>
      </top>
      <bottom style="medium">
        <color indexed="64"/>
      </bottom>
      <diagonal/>
    </border>
    <border>
      <left/>
      <right style="medium">
        <color indexed="64"/>
      </right>
      <top style="thick">
        <color rgb="FF939393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rgb="FF7F7F7F"/>
      </bottom>
      <diagonal/>
    </border>
    <border>
      <left/>
      <right style="medium">
        <color indexed="64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 style="thin">
        <color auto="1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auto="1"/>
      </bottom>
      <diagonal/>
    </border>
    <border>
      <left style="hair">
        <color indexed="17"/>
      </left>
      <right/>
      <top style="hair">
        <color indexed="17"/>
      </top>
      <bottom style="hair">
        <color indexed="17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hair">
        <color rgb="FF008000"/>
      </left>
      <right style="hair">
        <color indexed="17"/>
      </right>
      <top style="hair">
        <color rgb="FF008000"/>
      </top>
      <bottom style="hair">
        <color rgb="FF008000"/>
      </bottom>
      <diagonal/>
    </border>
    <border>
      <left style="hair">
        <color indexed="17"/>
      </left>
      <right style="hair">
        <color indexed="17"/>
      </right>
      <top style="hair">
        <color rgb="FF008000"/>
      </top>
      <bottom style="hair">
        <color rgb="FF008000"/>
      </bottom>
      <diagonal/>
    </border>
    <border>
      <left style="hair">
        <color indexed="17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ck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/>
      <top style="double">
        <color rgb="FF000000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double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indexed="64"/>
      </left>
      <right/>
      <top/>
      <bottom style="double">
        <color rgb="FF000000"/>
      </bottom>
      <diagonal/>
    </border>
    <border>
      <left/>
      <right style="thin">
        <color indexed="64"/>
      </right>
      <top/>
      <bottom style="double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double">
        <color rgb="FF000000"/>
      </top>
      <bottom/>
      <diagonal/>
    </border>
    <border>
      <left style="thin">
        <color indexed="64"/>
      </left>
      <right style="thin">
        <color indexed="64"/>
      </right>
      <top style="double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double">
        <color rgb="FF000000"/>
      </bottom>
      <diagonal/>
    </border>
    <border>
      <left style="thin">
        <color indexed="64"/>
      </left>
      <right style="thin">
        <color indexed="64"/>
      </right>
      <top/>
      <bottom style="double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thin">
        <color rgb="FF7F7F7F"/>
      </top>
      <bottom/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medium">
        <color indexed="64"/>
      </right>
      <top style="thin">
        <color rgb="FF000000"/>
      </top>
      <bottom/>
      <diagonal/>
    </border>
    <border>
      <left style="thin">
        <color rgb="FF7F7F7F"/>
      </left>
      <right style="medium">
        <color indexed="64"/>
      </right>
      <top/>
      <bottom style="thin">
        <color rgb="FF7F7F7F"/>
      </bottom>
      <diagonal/>
    </border>
    <border>
      <left style="thin">
        <color rgb="FF939393"/>
      </left>
      <right style="medium">
        <color indexed="64"/>
      </right>
      <top style="thin">
        <color rgb="FF939393"/>
      </top>
      <bottom style="thin">
        <color rgb="FF939393"/>
      </bottom>
      <diagonal/>
    </border>
    <border>
      <left/>
      <right/>
      <top style="thin">
        <color auto="1"/>
      </top>
      <bottom/>
      <diagonal/>
    </border>
    <border>
      <left/>
      <right style="thin">
        <color rgb="FF7F7F7F"/>
      </right>
      <top style="thin">
        <color auto="1"/>
      </top>
      <bottom/>
      <diagonal/>
    </border>
    <border>
      <left style="thin">
        <color rgb="FF939393"/>
      </left>
      <right style="medium">
        <color indexed="64"/>
      </right>
      <top style="thin">
        <color rgb="FF939393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939393"/>
      </right>
      <top style="thin">
        <color rgb="FF000000"/>
      </top>
      <bottom style="thin">
        <color rgb="FF939393"/>
      </bottom>
      <diagonal/>
    </border>
    <border>
      <left style="thin">
        <color rgb="FF939393"/>
      </left>
      <right style="thin">
        <color rgb="FF939393"/>
      </right>
      <top style="thin">
        <color rgb="FF000000"/>
      </top>
      <bottom/>
      <diagonal/>
    </border>
    <border>
      <left style="thin">
        <color rgb="FF939393"/>
      </left>
      <right style="medium">
        <color indexed="64"/>
      </right>
      <top style="thin">
        <color rgb="FF000000"/>
      </top>
      <bottom style="thin">
        <color rgb="FF939393"/>
      </bottom>
      <diagonal/>
    </border>
    <border>
      <left style="thin">
        <color rgb="FF939393"/>
      </left>
      <right/>
      <top/>
      <bottom/>
      <diagonal/>
    </border>
    <border>
      <left style="thin">
        <color rgb="FF939393"/>
      </left>
      <right style="thin">
        <color rgb="FF939393"/>
      </right>
      <top/>
      <bottom style="thin">
        <color rgb="FF939393"/>
      </bottom>
      <diagonal/>
    </border>
    <border>
      <left/>
      <right style="thin">
        <color rgb="FF939393"/>
      </right>
      <top/>
      <bottom/>
      <diagonal/>
    </border>
    <border>
      <left style="thin">
        <color rgb="FF939393"/>
      </left>
      <right style="thin">
        <color rgb="FF939393"/>
      </right>
      <top style="thin">
        <color rgb="FF939393"/>
      </top>
      <bottom style="thin">
        <color rgb="FF939393"/>
      </bottom>
      <diagonal/>
    </border>
    <border>
      <left style="thin">
        <color rgb="FF939393"/>
      </left>
      <right style="thin">
        <color rgb="FF939393"/>
      </right>
      <top style="thin">
        <color rgb="FF939393"/>
      </top>
      <bottom/>
      <diagonal/>
    </border>
    <border>
      <left style="medium">
        <color indexed="64"/>
      </left>
      <right style="thin">
        <color rgb="FF939393"/>
      </right>
      <top style="thin">
        <color rgb="FF939393"/>
      </top>
      <bottom style="thin">
        <color rgb="FF000000"/>
      </bottom>
      <diagonal/>
    </border>
    <border>
      <left style="thin">
        <color rgb="FF939393"/>
      </left>
      <right style="thin">
        <color rgb="FF939393"/>
      </right>
      <top style="thin">
        <color rgb="FF939393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7F7F7F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7F7F7F"/>
      </right>
      <top style="thin">
        <color rgb="FF000000"/>
      </top>
      <bottom/>
      <diagonal/>
    </border>
    <border>
      <left style="thin">
        <color rgb="FF7F7F7F"/>
      </left>
      <right style="thin">
        <color rgb="FF7F7F7F"/>
      </right>
      <top style="thin">
        <color rgb="FF000000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ck">
        <color rgb="FF939393"/>
      </top>
      <bottom style="medium">
        <color indexed="64"/>
      </bottom>
      <diagonal/>
    </border>
    <border>
      <left/>
      <right/>
      <top style="thick">
        <color rgb="FF939393"/>
      </top>
      <bottom/>
      <diagonal/>
    </border>
    <border>
      <left/>
      <right style="medium">
        <color indexed="64"/>
      </right>
      <top style="thick">
        <color rgb="FF939393"/>
      </top>
      <bottom/>
      <diagonal/>
    </border>
    <border>
      <left/>
      <right style="medium">
        <color indexed="17"/>
      </right>
      <top/>
      <bottom/>
      <diagonal/>
    </border>
    <border>
      <left style="medium">
        <color indexed="17"/>
      </left>
      <right/>
      <top/>
      <bottom/>
      <diagonal/>
    </border>
    <border>
      <left style="medium">
        <color indexed="17"/>
      </left>
      <right style="hair">
        <color indexed="17"/>
      </right>
      <top/>
      <bottom/>
      <diagonal/>
    </border>
    <border>
      <left style="medium">
        <color indexed="17"/>
      </left>
      <right style="hair">
        <color indexed="17"/>
      </right>
      <top/>
      <bottom style="hair">
        <color indexed="17"/>
      </bottom>
      <diagonal/>
    </border>
    <border>
      <left style="hair">
        <color indexed="17"/>
      </left>
      <right/>
      <top/>
      <bottom/>
      <diagonal/>
    </border>
    <border>
      <left/>
      <right style="hair">
        <color indexed="17"/>
      </right>
      <top/>
      <bottom/>
      <diagonal/>
    </border>
    <border>
      <left style="hair">
        <color indexed="17"/>
      </left>
      <right/>
      <top style="medium">
        <color indexed="17"/>
      </top>
      <bottom style="hair">
        <color indexed="17"/>
      </bottom>
      <diagonal/>
    </border>
    <border>
      <left/>
      <right style="thin">
        <color indexed="17"/>
      </right>
      <top style="medium">
        <color indexed="17"/>
      </top>
      <bottom style="hair">
        <color indexed="17"/>
      </bottom>
      <diagonal/>
    </border>
    <border>
      <left/>
      <right style="thin">
        <color indexed="17"/>
      </right>
      <top/>
      <bottom/>
      <diagonal/>
    </border>
    <border>
      <left style="hair">
        <color indexed="17"/>
      </left>
      <right style="thin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hair">
        <color indexed="17"/>
      </right>
      <top/>
      <bottom/>
      <diagonal/>
    </border>
    <border>
      <left style="hair">
        <color indexed="17"/>
      </left>
      <right style="medium">
        <color indexed="17"/>
      </right>
      <top/>
      <bottom/>
      <diagonal/>
    </border>
    <border>
      <left style="hair">
        <color indexed="17"/>
      </left>
      <right style="thin">
        <color indexed="17"/>
      </right>
      <top style="hair">
        <color indexed="17"/>
      </top>
      <bottom style="medium">
        <color indexed="17"/>
      </bottom>
      <diagonal/>
    </border>
    <border>
      <left/>
      <right/>
      <top style="hair">
        <color rgb="FF008000"/>
      </top>
      <bottom/>
      <diagonal/>
    </border>
    <border>
      <left/>
      <right style="hair">
        <color indexed="17"/>
      </right>
      <top style="hair">
        <color rgb="FF008000"/>
      </top>
      <bottom/>
      <diagonal/>
    </border>
    <border>
      <left/>
      <right/>
      <top style="hair">
        <color rgb="FF008000"/>
      </top>
      <bottom style="hair">
        <color rgb="FF008000"/>
      </bottom>
      <diagonal/>
    </border>
    <border>
      <left/>
      <right style="hair">
        <color indexed="17"/>
      </right>
      <top style="hair">
        <color rgb="FF008000"/>
      </top>
      <bottom style="hair">
        <color rgb="FF008000"/>
      </bottom>
      <diagonal/>
    </border>
    <border>
      <left/>
      <right/>
      <top style="hair">
        <color indexed="17"/>
      </top>
      <bottom style="hair">
        <color indexed="17"/>
      </bottom>
      <diagonal/>
    </border>
    <border>
      <left style="medium">
        <color indexed="17"/>
      </left>
      <right/>
      <top/>
      <bottom style="hair">
        <color indexed="17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1034">
    <xf numFmtId="0" fontId="73" fillId="0" borderId="0" applyAlignment="1">
      <alignment vertical="center"/>
    </xf>
    <xf numFmtId="0" fontId="41" fillId="0" borderId="0"/>
    <xf numFmtId="41" fontId="73" fillId="0" borderId="0" applyAlignment="1">
      <alignment vertical="center"/>
    </xf>
    <xf numFmtId="41" fontId="38" fillId="0" borderId="0" applyAlignment="1">
      <alignment vertical="center"/>
    </xf>
    <xf numFmtId="0" fontId="38" fillId="0" borderId="0" applyAlignment="1">
      <alignment vertical="center"/>
    </xf>
    <xf numFmtId="0" fontId="36" fillId="0" borderId="0"/>
    <xf numFmtId="0" fontId="8" fillId="0" borderId="0" applyAlignment="1">
      <alignment vertical="center"/>
    </xf>
    <xf numFmtId="0" fontId="38" fillId="0" borderId="0"/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247" fillId="0" borderId="0" applyAlignment="1">
      <alignment vertical="center"/>
    </xf>
    <xf numFmtId="0" fontId="8" fillId="0" borderId="0" applyAlignment="1">
      <alignment vertical="center"/>
    </xf>
    <xf numFmtId="0" fontId="73" fillId="0" borderId="0" applyAlignment="1">
      <alignment vertical="center"/>
    </xf>
    <xf numFmtId="41" fontId="73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262" fillId="0" borderId="0" applyAlignment="1">
      <alignment vertical="center"/>
    </xf>
    <xf numFmtId="0" fontId="281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283" fillId="0" borderId="0"/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</cellStyleXfs>
  <cellXfs count="1894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75" fillId="0" borderId="0" applyAlignment="1" pivotButton="0" quotePrefix="0" xfId="0">
      <alignment vertical="center"/>
    </xf>
    <xf numFmtId="0" fontId="75" fillId="0" borderId="2" applyAlignment="1" pivotButton="0" quotePrefix="0" xfId="0">
      <alignment vertical="center"/>
    </xf>
    <xf numFmtId="0" fontId="75" fillId="0" borderId="3" applyAlignment="1" pivotButton="0" quotePrefix="0" xfId="0">
      <alignment vertical="center"/>
    </xf>
    <xf numFmtId="0" fontId="0" fillId="0" borderId="0" applyAlignment="1" pivotButton="0" quotePrefix="1" xfId="0">
      <alignment vertical="center"/>
    </xf>
    <xf numFmtId="0" fontId="76" fillId="2" borderId="4" applyAlignment="1" pivotButton="0" quotePrefix="1" xfId="0">
      <alignment vertical="center"/>
    </xf>
    <xf numFmtId="0" fontId="75" fillId="3" borderId="4" applyAlignment="1" pivotButton="0" quotePrefix="0" xfId="0">
      <alignment horizontal="left" vertical="center"/>
    </xf>
    <xf numFmtId="0" fontId="77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78" fillId="0" borderId="0" applyAlignment="1" pivotButton="0" quotePrefix="0" xfId="0">
      <alignment horizontal="left" vertical="center"/>
    </xf>
    <xf numFmtId="0" fontId="79" fillId="0" borderId="0" applyAlignment="1" pivotButton="0" quotePrefix="0" xfId="0">
      <alignment vertical="center"/>
    </xf>
    <xf numFmtId="0" fontId="75" fillId="4" borderId="4" applyAlignment="1" pivotButton="0" quotePrefix="0" xfId="0">
      <alignment horizontal="center" vertical="center"/>
    </xf>
    <xf numFmtId="0" fontId="81" fillId="0" borderId="0" applyAlignment="1" pivotButton="0" quotePrefix="0" xfId="0">
      <alignment vertical="center"/>
    </xf>
    <xf numFmtId="0" fontId="82" fillId="0" borderId="0" applyAlignment="1" pivotButton="0" quotePrefix="0" xfId="0">
      <alignment vertical="center"/>
    </xf>
    <xf numFmtId="0" fontId="0" fillId="5" borderId="0" applyAlignment="1" pivotButton="0" quotePrefix="0" xfId="0">
      <alignment vertical="center"/>
    </xf>
    <xf numFmtId="49" fontId="82" fillId="0" borderId="0" applyAlignment="1" pivotButton="0" quotePrefix="0" xfId="0">
      <alignment vertical="center"/>
    </xf>
    <xf numFmtId="0" fontId="82" fillId="0" borderId="1" applyAlignment="1" pivotButton="0" quotePrefix="0" xfId="0">
      <alignment vertical="center"/>
    </xf>
    <xf numFmtId="0" fontId="84" fillId="0" borderId="0" applyAlignment="1" pivotButton="0" quotePrefix="0" xfId="0">
      <alignment vertical="center"/>
    </xf>
    <xf numFmtId="49" fontId="82" fillId="0" borderId="1" applyAlignment="1" pivotButton="0" quotePrefix="0" xfId="0">
      <alignment vertical="center"/>
    </xf>
    <xf numFmtId="49" fontId="82" fillId="0" borderId="0" applyAlignment="1" pivotButton="0" quotePrefix="0" xfId="0">
      <alignment horizontal="center" vertical="center"/>
    </xf>
    <xf numFmtId="0" fontId="78" fillId="0" borderId="2" applyAlignment="1" pivotButton="0" quotePrefix="0" xfId="0">
      <alignment horizontal="left" vertical="center"/>
    </xf>
    <xf numFmtId="0" fontId="85" fillId="0" borderId="1" applyAlignment="1" pivotButton="0" quotePrefix="0" xfId="0">
      <alignment vertical="center"/>
    </xf>
    <xf numFmtId="0" fontId="87" fillId="0" borderId="4" applyAlignment="1" pivotButton="0" quotePrefix="0" xfId="0">
      <alignment vertical="center"/>
    </xf>
    <xf numFmtId="0" fontId="87" fillId="0" borderId="4" applyAlignment="1" pivotButton="0" quotePrefix="1" xfId="0">
      <alignment vertical="center"/>
    </xf>
    <xf numFmtId="0" fontId="75" fillId="0" borderId="0" applyAlignment="1" pivotButton="0" quotePrefix="0" xfId="0">
      <alignment horizontal="right" vertical="center"/>
    </xf>
    <xf numFmtId="0" fontId="0" fillId="0" borderId="2" applyAlignment="1" pivotButton="0" quotePrefix="0" xfId="0">
      <alignment vertical="center"/>
    </xf>
    <xf numFmtId="0" fontId="78" fillId="4" borderId="4" applyAlignment="1" pivotButton="0" quotePrefix="0" xfId="0">
      <alignment horizontal="center" vertical="center"/>
    </xf>
    <xf numFmtId="0" fontId="78" fillId="0" borderId="0" applyAlignment="1" pivotButton="0" quotePrefix="0" xfId="0">
      <alignment vertical="center"/>
    </xf>
    <xf numFmtId="0" fontId="88" fillId="0" borderId="0" applyAlignment="1" pivotButton="0" quotePrefix="0" xfId="0">
      <alignment vertical="center"/>
    </xf>
    <xf numFmtId="0" fontId="89" fillId="0" borderId="0" applyAlignment="1" pivotButton="0" quotePrefix="0" xfId="0">
      <alignment vertical="center"/>
    </xf>
    <xf numFmtId="0" fontId="85" fillId="0" borderId="0" applyAlignment="1" pivotButton="0" quotePrefix="0" xfId="0">
      <alignment vertical="center"/>
    </xf>
    <xf numFmtId="0" fontId="78" fillId="0" borderId="1" applyAlignment="1" pivotButton="0" quotePrefix="0" xfId="0">
      <alignment vertical="center"/>
    </xf>
    <xf numFmtId="0" fontId="9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shrinkToFit="1"/>
    </xf>
    <xf numFmtId="0" fontId="79" fillId="0" borderId="9" applyAlignment="1" pivotButton="0" quotePrefix="0" xfId="0">
      <alignment vertical="center"/>
    </xf>
    <xf numFmtId="0" fontId="91" fillId="0" borderId="0" applyAlignment="1" pivotButton="0" quotePrefix="0" xfId="0">
      <alignment horizontal="center" vertical="center"/>
    </xf>
    <xf numFmtId="0" fontId="91" fillId="0" borderId="0" applyAlignment="1" pivotButton="0" quotePrefix="0" xfId="0">
      <alignment vertical="center"/>
    </xf>
    <xf numFmtId="164" fontId="91" fillId="0" borderId="0" applyAlignment="1" pivotButton="0" quotePrefix="0" xfId="0">
      <alignment vertical="center"/>
    </xf>
    <xf numFmtId="0" fontId="82" fillId="0" borderId="0" applyAlignment="1" pivotButton="0" quotePrefix="0" xfId="0">
      <alignment horizontal="center" vertical="center" shrinkToFit="1"/>
    </xf>
    <xf numFmtId="0" fontId="78" fillId="0" borderId="0" applyAlignment="1" pivotButton="0" quotePrefix="0" xfId="0">
      <alignment horizontal="center" vertical="center"/>
    </xf>
    <xf numFmtId="165" fontId="91" fillId="0" borderId="0" applyAlignment="1" pivotButton="0" quotePrefix="0" xfId="0">
      <alignment vertical="center"/>
    </xf>
    <xf numFmtId="0" fontId="82" fillId="0" borderId="0" applyAlignment="1" pivotButton="0" quotePrefix="0" xfId="0">
      <alignment vertical="center" shrinkToFit="1"/>
    </xf>
    <xf numFmtId="0" fontId="75" fillId="0" borderId="1" applyAlignment="1" pivotButton="0" quotePrefix="0" xfId="0">
      <alignment horizontal="left" vertical="center"/>
    </xf>
    <xf numFmtId="0" fontId="48" fillId="0" borderId="0" applyAlignment="1" pivotButton="0" quotePrefix="0" xfId="4">
      <alignment vertical="center"/>
    </xf>
    <xf numFmtId="0" fontId="50" fillId="0" borderId="0" applyAlignment="1" pivotButton="0" quotePrefix="0" xfId="4">
      <alignment vertical="center"/>
    </xf>
    <xf numFmtId="0" fontId="51" fillId="0" borderId="0" applyAlignment="1" pivotButton="0" quotePrefix="0" xfId="4">
      <alignment vertical="center"/>
    </xf>
    <xf numFmtId="0" fontId="42" fillId="0" borderId="0" applyAlignment="1" pivotButton="0" quotePrefix="0" xfId="4">
      <alignment horizontal="left" vertical="center"/>
    </xf>
    <xf numFmtId="0" fontId="42" fillId="0" borderId="21" applyAlignment="1" pivotButton="0" quotePrefix="0" xfId="4">
      <alignment vertical="center"/>
    </xf>
    <xf numFmtId="0" fontId="42" fillId="0" borderId="21" applyAlignment="1" pivotButton="0" quotePrefix="0" xfId="4">
      <alignment horizontal="left" vertical="center"/>
    </xf>
    <xf numFmtId="166" fontId="40" fillId="0" borderId="21" applyAlignment="1" pivotButton="0" quotePrefix="0" xfId="4">
      <alignment vertical="center"/>
    </xf>
    <xf numFmtId="0" fontId="40" fillId="0" borderId="21" applyAlignment="1" pivotButton="0" quotePrefix="0" xfId="4">
      <alignment horizontal="center" vertical="center"/>
    </xf>
    <xf numFmtId="0" fontId="40" fillId="4" borderId="21" applyAlignment="1" pivotButton="0" quotePrefix="0" xfId="4">
      <alignment horizontal="center" vertical="center"/>
    </xf>
    <xf numFmtId="0" fontId="52" fillId="0" borderId="0" applyAlignment="1" pivotButton="0" quotePrefix="0" xfId="4">
      <alignment horizontal="center" vertical="center"/>
    </xf>
    <xf numFmtId="0" fontId="52" fillId="4" borderId="0" applyAlignment="1" pivotButton="0" quotePrefix="0" xfId="4">
      <alignment horizontal="center" vertical="center"/>
    </xf>
    <xf numFmtId="0" fontId="92" fillId="4" borderId="21" applyAlignment="1" pivotButton="0" quotePrefix="0" xfId="0">
      <alignment horizontal="center" vertical="center"/>
    </xf>
    <xf numFmtId="0" fontId="93" fillId="0" borderId="28" applyAlignment="1" pivotButton="0" quotePrefix="0" xfId="0">
      <alignment horizontal="left" vertical="center"/>
    </xf>
    <xf numFmtId="0" fontId="94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94" fillId="0" borderId="0" applyAlignment="1" pivotButton="0" quotePrefix="0" xfId="0">
      <alignment vertical="center"/>
    </xf>
    <xf numFmtId="0" fontId="95" fillId="0" borderId="0" applyAlignment="1" pivotButton="0" quotePrefix="0" xfId="0">
      <alignment vertical="center"/>
    </xf>
    <xf numFmtId="0" fontId="95" fillId="0" borderId="101" applyAlignment="1" pivotButton="0" quotePrefix="0" xfId="0">
      <alignment horizontal="center" vertical="center" wrapText="1"/>
    </xf>
    <xf numFmtId="0" fontId="95" fillId="0" borderId="102" applyAlignment="1" pivotButton="0" quotePrefix="0" xfId="0">
      <alignment vertical="center" wrapText="1"/>
    </xf>
    <xf numFmtId="0" fontId="95" fillId="0" borderId="103" applyAlignment="1" pivotButton="0" quotePrefix="0" xfId="0">
      <alignment vertical="center" wrapText="1"/>
    </xf>
    <xf numFmtId="0" fontId="95" fillId="0" borderId="104" applyAlignment="1" pivotButton="0" quotePrefix="0" xfId="0">
      <alignment horizontal="center" vertical="center" wrapText="1"/>
    </xf>
    <xf numFmtId="0" fontId="95" fillId="0" borderId="105" applyAlignment="1" pivotButton="0" quotePrefix="0" xfId="0">
      <alignment vertical="center" wrapText="1"/>
    </xf>
    <xf numFmtId="0" fontId="95" fillId="0" borderId="106" applyAlignment="1" pivotButton="0" quotePrefix="0" xfId="0">
      <alignment horizontal="center" vertical="center" wrapText="1"/>
    </xf>
    <xf numFmtId="0" fontId="95" fillId="0" borderId="107" applyAlignment="1" pivotButton="0" quotePrefix="0" xfId="0">
      <alignment horizontal="center" vertical="center" wrapText="1"/>
    </xf>
    <xf numFmtId="0" fontId="95" fillId="0" borderId="0" applyAlignment="1" pivotButton="0" quotePrefix="0" xfId="0">
      <alignment horizontal="left" vertical="center"/>
    </xf>
    <xf numFmtId="0" fontId="96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center" vertical="center" wrapText="1"/>
    </xf>
    <xf numFmtId="0" fontId="95" fillId="0" borderId="0" applyAlignment="1" pivotButton="0" quotePrefix="0" xfId="0">
      <alignment vertical="center" wrapText="1"/>
    </xf>
    <xf numFmtId="0" fontId="95" fillId="0" borderId="0" applyAlignment="1" pivotButton="0" quotePrefix="0" xfId="0">
      <alignment horizontal="justify" vertical="center"/>
    </xf>
    <xf numFmtId="0" fontId="96" fillId="0" borderId="0" applyAlignment="1" pivotButton="0" quotePrefix="0" xfId="0">
      <alignment vertical="center"/>
    </xf>
    <xf numFmtId="166" fontId="43" fillId="0" borderId="21" applyAlignment="1" pivotButton="0" quotePrefix="0" xfId="4">
      <alignment horizontal="center" vertical="center"/>
    </xf>
    <xf numFmtId="167" fontId="43" fillId="0" borderId="21" applyAlignment="1" pivotButton="0" quotePrefix="0" xfId="2">
      <alignment horizontal="center" vertical="center"/>
    </xf>
    <xf numFmtId="0" fontId="97" fillId="6" borderId="0" applyAlignment="1" pivotButton="0" quotePrefix="0" xfId="4">
      <alignment horizontal="center" vertical="center"/>
    </xf>
    <xf numFmtId="0" fontId="42" fillId="0" borderId="21" applyAlignment="1" pivotButton="0" quotePrefix="0" xfId="4">
      <alignment horizontal="center" vertical="center"/>
    </xf>
    <xf numFmtId="0" fontId="83" fillId="0" borderId="2" applyAlignment="1" pivotButton="0" quotePrefix="0" xfId="0">
      <alignment vertical="center"/>
    </xf>
    <xf numFmtId="0" fontId="83" fillId="0" borderId="0" applyAlignment="1" pivotButton="0" quotePrefix="0" xfId="0">
      <alignment vertical="center"/>
    </xf>
    <xf numFmtId="0" fontId="83" fillId="0" borderId="5" applyAlignment="1" pivotButton="0" quotePrefix="0" xfId="0">
      <alignment vertical="center"/>
    </xf>
    <xf numFmtId="168" fontId="83" fillId="0" borderId="2" applyAlignment="1" pivotButton="0" quotePrefix="0" xfId="0">
      <alignment vertical="center"/>
    </xf>
    <xf numFmtId="168" fontId="83" fillId="0" borderId="0" applyAlignment="1" pivotButton="0" quotePrefix="0" xfId="0">
      <alignment vertical="center"/>
    </xf>
    <xf numFmtId="169" fontId="83" fillId="0" borderId="7" applyAlignment="1" pivotButton="0" quotePrefix="0" xfId="0">
      <alignment horizontal="left" vertical="center"/>
    </xf>
    <xf numFmtId="0" fontId="99" fillId="0" borderId="108" applyAlignment="1" pivotButton="0" quotePrefix="0" xfId="0">
      <alignment horizontal="center" vertical="center" wrapText="1"/>
    </xf>
    <xf numFmtId="0" fontId="99" fillId="0" borderId="0" applyAlignment="1" pivotButton="0" quotePrefix="0" xfId="0">
      <alignment horizontal="center" vertical="center" wrapText="1"/>
    </xf>
    <xf numFmtId="0" fontId="102" fillId="0" borderId="109" applyAlignment="1" pivotButton="0" quotePrefix="0" xfId="0">
      <alignment horizontal="center" vertical="center" wrapText="1"/>
    </xf>
    <xf numFmtId="0" fontId="102" fillId="0" borderId="110" applyAlignment="1" pivotButton="0" quotePrefix="0" xfId="0">
      <alignment horizontal="center" vertical="center" wrapText="1"/>
    </xf>
    <xf numFmtId="0" fontId="104" fillId="0" borderId="0" applyAlignment="1" pivotButton="0" quotePrefix="0" xfId="0">
      <alignment horizontal="center" vertical="center"/>
    </xf>
    <xf numFmtId="0" fontId="105" fillId="6" borderId="0" applyAlignment="1" pivotButton="0" quotePrefix="0" xfId="4">
      <alignment horizontal="center" vertical="center"/>
    </xf>
    <xf numFmtId="0" fontId="106" fillId="0" borderId="0" applyAlignment="1" pivotButton="0" quotePrefix="0" xfId="4">
      <alignment horizontal="center" vertical="center"/>
    </xf>
    <xf numFmtId="0" fontId="107" fillId="0" borderId="0" applyAlignment="1" pivotButton="0" quotePrefix="0" xfId="4">
      <alignment vertical="center"/>
    </xf>
    <xf numFmtId="0" fontId="108" fillId="0" borderId="0" applyAlignment="1" pivotButton="0" quotePrefix="0" xfId="0">
      <alignment vertical="center"/>
    </xf>
    <xf numFmtId="0" fontId="109" fillId="0" borderId="0" applyAlignment="1" pivotButton="0" quotePrefix="0" xfId="4">
      <alignment vertical="center"/>
    </xf>
    <xf numFmtId="20" fontId="110" fillId="0" borderId="0" applyAlignment="1" pivotButton="0" quotePrefix="0" xfId="4">
      <alignment horizontal="center" vertical="center"/>
    </xf>
    <xf numFmtId="170" fontId="112" fillId="0" borderId="21" applyAlignment="1" pivotButton="0" quotePrefix="0" xfId="4">
      <alignment horizontal="center" vertical="center"/>
    </xf>
    <xf numFmtId="0" fontId="47" fillId="0" borderId="21" applyAlignment="1" pivotButton="0" quotePrefix="0" xfId="4">
      <alignment horizontal="center" vertical="center"/>
    </xf>
    <xf numFmtId="0" fontId="104" fillId="0" borderId="4" applyAlignment="1" pivotButton="0" quotePrefix="0" xfId="0">
      <alignment horizontal="center" vertical="center"/>
    </xf>
    <xf numFmtId="166" fontId="113" fillId="0" borderId="21" applyAlignment="1" pivotButton="0" quotePrefix="0" xfId="4">
      <alignment horizontal="center" vertical="center"/>
    </xf>
    <xf numFmtId="0" fontId="42" fillId="0" borderId="22" applyAlignment="1" pivotButton="0" quotePrefix="0" xfId="4">
      <alignment horizontal="center" vertical="center"/>
    </xf>
    <xf numFmtId="0" fontId="114" fillId="0" borderId="37" applyAlignment="1" pivotButton="0" quotePrefix="0" xfId="4">
      <alignment horizontal="center" vertical="center"/>
    </xf>
    <xf numFmtId="0" fontId="114" fillId="0" borderId="38" applyAlignment="1" pivotButton="0" quotePrefix="0" xfId="4">
      <alignment horizontal="center" vertical="center"/>
    </xf>
    <xf numFmtId="0" fontId="114" fillId="0" borderId="39" applyAlignment="1" pivotButton="0" quotePrefix="0" xfId="4">
      <alignment horizontal="center" vertical="center"/>
    </xf>
    <xf numFmtId="0" fontId="114" fillId="0" borderId="40" applyAlignment="1" pivotButton="0" quotePrefix="0" xfId="4">
      <alignment horizontal="center" vertical="center"/>
    </xf>
    <xf numFmtId="0" fontId="114" fillId="0" borderId="41" applyAlignment="1" pivotButton="0" quotePrefix="0" xfId="4">
      <alignment horizontal="center" vertical="center"/>
    </xf>
    <xf numFmtId="0" fontId="104" fillId="0" borderId="23" applyAlignment="1" pivotButton="0" quotePrefix="0" xfId="0">
      <alignment horizontal="center" vertical="center"/>
    </xf>
    <xf numFmtId="0" fontId="104" fillId="0" borderId="32" applyAlignment="1" pivotButton="0" quotePrefix="0" xfId="0">
      <alignment horizontal="center" vertical="center"/>
    </xf>
    <xf numFmtId="0" fontId="104" fillId="0" borderId="24" applyAlignment="1" pivotButton="0" quotePrefix="0" xfId="0">
      <alignment horizontal="center" vertical="center"/>
    </xf>
    <xf numFmtId="0" fontId="104" fillId="0" borderId="31" applyAlignment="1" pivotButton="0" quotePrefix="0" xfId="0">
      <alignment horizontal="center" vertical="center"/>
    </xf>
    <xf numFmtId="0" fontId="104" fillId="0" borderId="34" applyAlignment="1" pivotButton="0" quotePrefix="0" xfId="0">
      <alignment horizontal="center" vertical="center"/>
    </xf>
    <xf numFmtId="0" fontId="104" fillId="0" borderId="35" applyAlignment="1" pivotButton="0" quotePrefix="0" xfId="0">
      <alignment horizontal="center" vertical="center"/>
    </xf>
    <xf numFmtId="0" fontId="115" fillId="4" borderId="24" applyAlignment="1" pivotButton="0" quotePrefix="0" xfId="4">
      <alignment horizontal="center" vertical="center"/>
    </xf>
    <xf numFmtId="0" fontId="115" fillId="0" borderId="24" applyAlignment="1" pivotButton="0" quotePrefix="0" xfId="4">
      <alignment horizontal="center" vertical="center"/>
    </xf>
    <xf numFmtId="0" fontId="115" fillId="0" borderId="26" applyAlignment="1" pivotButton="0" quotePrefix="0" xfId="4">
      <alignment horizontal="center" vertical="center"/>
    </xf>
    <xf numFmtId="0" fontId="104" fillId="0" borderId="26" applyAlignment="1" pivotButton="0" quotePrefix="0" xfId="0">
      <alignment horizontal="center" vertical="center"/>
    </xf>
    <xf numFmtId="0" fontId="104" fillId="0" borderId="0" applyAlignment="1" pivotButton="0" quotePrefix="0" xfId="0">
      <alignment vertical="center"/>
    </xf>
    <xf numFmtId="0" fontId="114" fillId="4" borderId="22" applyAlignment="1" pivotButton="0" quotePrefix="0" xfId="4">
      <alignment horizontal="center" vertical="center"/>
    </xf>
    <xf numFmtId="0" fontId="114" fillId="4" borderId="42" applyAlignment="1" pivotButton="0" quotePrefix="0" xfId="4">
      <alignment horizontal="center" vertical="center"/>
    </xf>
    <xf numFmtId="0" fontId="114" fillId="4" borderId="21" applyAlignment="1" pivotButton="0" quotePrefix="0" xfId="4">
      <alignment horizontal="center" vertical="center"/>
    </xf>
    <xf numFmtId="0" fontId="114" fillId="4" borderId="43" applyAlignment="1" pivotButton="0" quotePrefix="0" xfId="4">
      <alignment horizontal="center" vertical="center"/>
    </xf>
    <xf numFmtId="0" fontId="114" fillId="0" borderId="43" applyAlignment="1" pivotButton="0" quotePrefix="0" xfId="4">
      <alignment horizontal="center" vertical="center"/>
    </xf>
    <xf numFmtId="0" fontId="114" fillId="0" borderId="44" applyAlignment="1" pivotButton="0" quotePrefix="0" xfId="4">
      <alignment horizontal="center" vertical="center"/>
    </xf>
    <xf numFmtId="0" fontId="114" fillId="4" borderId="45" applyAlignment="1" pivotButton="0" quotePrefix="0" xfId="4">
      <alignment horizontal="center" vertical="center"/>
    </xf>
    <xf numFmtId="0" fontId="114" fillId="0" borderId="46" applyAlignment="1" pivotButton="0" quotePrefix="0" xfId="4">
      <alignment horizontal="center" vertical="center"/>
    </xf>
    <xf numFmtId="0" fontId="116" fillId="4" borderId="32" applyAlignment="1" pivotButton="0" quotePrefix="0" xfId="4">
      <alignment horizontal="center" vertical="center"/>
    </xf>
    <xf numFmtId="0" fontId="117" fillId="0" borderId="33" applyAlignment="1" pivotButton="0" quotePrefix="0" xfId="4">
      <alignment horizontal="center" vertical="center"/>
    </xf>
    <xf numFmtId="0" fontId="117" fillId="4" borderId="4" applyAlignment="1" pivotButton="0" quotePrefix="0" xfId="4">
      <alignment horizontal="center" vertical="center"/>
    </xf>
    <xf numFmtId="0" fontId="117" fillId="0" borderId="31" applyAlignment="1" pivotButton="0" quotePrefix="0" xfId="4">
      <alignment horizontal="center" vertical="center"/>
    </xf>
    <xf numFmtId="0" fontId="118" fillId="4" borderId="4" applyAlignment="1" pivotButton="0" quotePrefix="0" xfId="4">
      <alignment horizontal="center" vertical="center"/>
    </xf>
    <xf numFmtId="0" fontId="118" fillId="0" borderId="31" applyAlignment="1" pivotButton="0" quotePrefix="0" xfId="4">
      <alignment horizontal="center" vertical="center"/>
    </xf>
    <xf numFmtId="0" fontId="118" fillId="4" borderId="34" applyAlignment="1" pivotButton="0" quotePrefix="0" xfId="4">
      <alignment horizontal="center" vertical="center"/>
    </xf>
    <xf numFmtId="0" fontId="118" fillId="0" borderId="35" applyAlignment="1" pivotButton="0" quotePrefix="0" xfId="4">
      <alignment horizontal="center" vertical="center"/>
    </xf>
    <xf numFmtId="0" fontId="92" fillId="0" borderId="0" applyAlignment="1" pivotButton="0" quotePrefix="0" xfId="4">
      <alignment vertical="center"/>
    </xf>
    <xf numFmtId="0" fontId="92" fillId="0" borderId="0" applyAlignment="1" pivotButton="0" quotePrefix="0" xfId="4">
      <alignment horizontal="center" vertical="center"/>
    </xf>
    <xf numFmtId="0" fontId="119" fillId="0" borderId="0" applyAlignment="1" pivotButton="0" quotePrefix="0" xfId="4">
      <alignment horizontal="center" vertical="center"/>
    </xf>
    <xf numFmtId="0" fontId="104" fillId="0" borderId="37" applyAlignment="1" pivotButton="0" quotePrefix="0" xfId="0">
      <alignment horizontal="center" vertical="center"/>
    </xf>
    <xf numFmtId="0" fontId="118" fillId="4" borderId="0" applyAlignment="1" pivotButton="0" quotePrefix="0" xfId="4">
      <alignment horizontal="center" vertical="center"/>
    </xf>
    <xf numFmtId="0" fontId="118" fillId="0" borderId="44" applyAlignment="1" pivotButton="0" quotePrefix="0" xfId="4">
      <alignment horizontal="center" vertical="center"/>
    </xf>
    <xf numFmtId="0" fontId="42" fillId="0" borderId="47" applyAlignment="1" pivotButton="0" quotePrefix="0" xfId="4">
      <alignment horizontal="left" vertical="center" wrapText="1"/>
    </xf>
    <xf numFmtId="0" fontId="109" fillId="0" borderId="48" applyAlignment="1" pivotButton="0" quotePrefix="0" xfId="4">
      <alignment horizontal="center" vertical="center"/>
    </xf>
    <xf numFmtId="171" fontId="120" fillId="0" borderId="0" applyAlignment="1" pivotButton="0" quotePrefix="0" xfId="2">
      <alignment horizontal="center" vertical="center"/>
    </xf>
    <xf numFmtId="172" fontId="121" fillId="0" borderId="0" applyAlignment="1" pivotButton="0" quotePrefix="0" xfId="2">
      <alignment horizontal="center" vertical="center"/>
    </xf>
    <xf numFmtId="173" fontId="107" fillId="8" borderId="0" applyAlignment="1" pivotButton="0" quotePrefix="0" xfId="4">
      <alignment horizontal="center" vertical="center"/>
    </xf>
    <xf numFmtId="0" fontId="125" fillId="6" borderId="21" applyAlignment="1" pivotButton="0" quotePrefix="0" xfId="4">
      <alignment horizontal="center" vertical="center"/>
    </xf>
    <xf numFmtId="0" fontId="106" fillId="0" borderId="0" applyAlignment="1" pivotButton="0" quotePrefix="0" xfId="4">
      <alignment vertical="center"/>
    </xf>
    <xf numFmtId="0" fontId="74" fillId="0" borderId="0" applyAlignment="1" pivotButton="0" quotePrefix="0" xfId="0">
      <alignment vertical="center"/>
    </xf>
    <xf numFmtId="173" fontId="107" fillId="0" borderId="0" applyAlignment="1" pivotButton="0" quotePrefix="0" xfId="4">
      <alignment horizontal="center" vertical="center"/>
    </xf>
    <xf numFmtId="0" fontId="126" fillId="0" borderId="0" applyAlignment="1" pivotButton="0" quotePrefix="0" xfId="4">
      <alignment vertical="center"/>
    </xf>
    <xf numFmtId="0" fontId="92" fillId="0" borderId="21" applyAlignment="1" pivotButton="0" quotePrefix="0" xfId="4">
      <alignment horizontal="center" vertical="center"/>
    </xf>
    <xf numFmtId="0" fontId="48" fillId="0" borderId="21" applyAlignment="1" pivotButton="0" quotePrefix="0" xfId="4">
      <alignment vertical="center"/>
    </xf>
    <xf numFmtId="0" fontId="127" fillId="0" borderId="0" applyAlignment="1" pivotButton="0" quotePrefix="0" xfId="4">
      <alignment horizontal="center" vertical="center"/>
    </xf>
    <xf numFmtId="0" fontId="114" fillId="0" borderId="0" applyAlignment="1" pivotButton="0" quotePrefix="0" xfId="4">
      <alignment horizontal="center" vertical="center"/>
    </xf>
    <xf numFmtId="0" fontId="81" fillId="0" borderId="0" applyAlignment="1" pivotButton="0" quotePrefix="0" xfId="0">
      <alignment horizontal="center" vertical="center"/>
    </xf>
    <xf numFmtId="0" fontId="0" fillId="0" borderId="3" applyAlignment="1" pivotButton="0" quotePrefix="0" xfId="0">
      <alignment vertical="center"/>
    </xf>
    <xf numFmtId="0" fontId="128" fillId="6" borderId="10" applyAlignment="1" pivotButton="0" quotePrefix="0" xfId="4">
      <alignment horizontal="center" vertical="center"/>
    </xf>
    <xf numFmtId="0" fontId="88" fillId="8" borderId="54" applyAlignment="1" pivotButton="0" quotePrefix="0" xfId="4">
      <alignment horizontal="center" vertical="center"/>
    </xf>
    <xf numFmtId="0" fontId="88" fillId="8" borderId="55" applyAlignment="1" pivotButton="0" quotePrefix="0" xfId="4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1" xfId="0">
      <alignment horizontal="center" vertical="center"/>
    </xf>
    <xf numFmtId="0" fontId="77" fillId="0" borderId="4" applyAlignment="1" pivotButton="0" quotePrefix="0" xfId="0">
      <alignment horizontal="center" vertical="center"/>
    </xf>
    <xf numFmtId="174" fontId="0" fillId="0" borderId="4" applyAlignment="1" pivotButton="0" quotePrefix="0" xfId="0">
      <alignment horizontal="center" vertical="center"/>
    </xf>
    <xf numFmtId="0" fontId="129" fillId="0" borderId="0" applyAlignment="1" pivotButton="0" quotePrefix="0" xfId="4">
      <alignment horizontal="center" vertical="center"/>
    </xf>
    <xf numFmtId="0" fontId="130" fillId="0" borderId="0" applyAlignment="1" pivotButton="0" quotePrefix="0" xfId="4">
      <alignment horizontal="center" vertical="center"/>
    </xf>
    <xf numFmtId="0" fontId="92" fillId="0" borderId="53" applyAlignment="1" pivotButton="0" quotePrefix="0" xfId="4">
      <alignment horizontal="center" vertical="center"/>
    </xf>
    <xf numFmtId="0" fontId="88" fillId="0" borderId="56" applyAlignment="1" pivotButton="0" quotePrefix="0" xfId="4">
      <alignment horizontal="center" vertical="center"/>
    </xf>
    <xf numFmtId="0" fontId="88" fillId="0" borderId="55" applyAlignment="1" pivotButton="0" quotePrefix="0" xfId="4">
      <alignment horizontal="center" vertical="center"/>
    </xf>
    <xf numFmtId="0" fontId="92" fillId="0" borderId="57" applyAlignment="1" pivotButton="0" quotePrefix="0" xfId="4">
      <alignment horizontal="center" vertical="center"/>
    </xf>
    <xf numFmtId="0" fontId="88" fillId="0" borderId="58" applyAlignment="1" pivotButton="0" quotePrefix="0" xfId="4">
      <alignment horizontal="center" vertical="center"/>
    </xf>
    <xf numFmtId="0" fontId="88" fillId="0" borderId="59" applyAlignment="1" pivotButton="0" quotePrefix="0" xfId="4">
      <alignment horizontal="center" vertical="center"/>
    </xf>
    <xf numFmtId="0" fontId="127" fillId="0" borderId="21" applyAlignment="1" pivotButton="0" quotePrefix="0" xfId="4">
      <alignment horizontal="center" vertical="center" wrapText="1"/>
    </xf>
    <xf numFmtId="0" fontId="131" fillId="6" borderId="8" applyAlignment="1" pivotButton="0" quotePrefix="0" xfId="4">
      <alignment horizontal="center" vertical="center"/>
    </xf>
    <xf numFmtId="0" fontId="132" fillId="10" borderId="21" applyAlignment="1" pivotButton="0" quotePrefix="0" xfId="4">
      <alignment horizontal="center" vertical="center"/>
    </xf>
    <xf numFmtId="2" fontId="88" fillId="8" borderId="60" applyAlignment="1" pivotButton="0" quotePrefix="0" xfId="4">
      <alignment horizontal="center" vertical="center"/>
    </xf>
    <xf numFmtId="0" fontId="0" fillId="0" borderId="61" applyAlignment="1" pivotButton="0" quotePrefix="0" xfId="0">
      <alignment vertical="center"/>
    </xf>
    <xf numFmtId="0" fontId="0" fillId="0" borderId="62" applyAlignment="1" pivotButton="0" quotePrefix="0" xfId="0">
      <alignment vertical="center"/>
    </xf>
    <xf numFmtId="0" fontId="0" fillId="0" borderId="63" applyAlignment="1" pivotButton="0" quotePrefix="0" xfId="0">
      <alignment vertical="center"/>
    </xf>
    <xf numFmtId="0" fontId="0" fillId="0" borderId="64" applyAlignment="1" pivotButton="0" quotePrefix="0" xfId="0">
      <alignment vertical="center"/>
    </xf>
    <xf numFmtId="0" fontId="0" fillId="0" borderId="65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77" fillId="0" borderId="0" applyAlignment="1" pivotButton="0" quotePrefix="0" xfId="0">
      <alignment horizontal="center"/>
    </xf>
    <xf numFmtId="0" fontId="81" fillId="0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2" fontId="81" fillId="0" borderId="1" applyAlignment="1" pivotButton="0" quotePrefix="0" xfId="0">
      <alignment horizontal="center"/>
    </xf>
    <xf numFmtId="0" fontId="0" fillId="0" borderId="0" applyAlignment="1" pivotButton="0" quotePrefix="0" xfId="0">
      <alignment vertical="top"/>
    </xf>
    <xf numFmtId="0" fontId="81" fillId="0" borderId="3" applyAlignment="1" pivotButton="0" quotePrefix="0" xfId="0">
      <alignment horizontal="center" vertical="top"/>
    </xf>
    <xf numFmtId="0" fontId="0" fillId="0" borderId="3" applyAlignment="1" pivotButton="0" quotePrefix="1" xfId="0">
      <alignment vertical="top"/>
    </xf>
    <xf numFmtId="0" fontId="81" fillId="0" borderId="3" applyAlignment="1" pivotButton="0" quotePrefix="0" xfId="0">
      <alignment vertical="top"/>
    </xf>
    <xf numFmtId="0" fontId="0" fillId="0" borderId="3" applyAlignment="1" pivotButton="0" quotePrefix="1" xfId="0">
      <alignment horizontal="center" vertical="top"/>
    </xf>
    <xf numFmtId="0" fontId="81" fillId="0" borderId="3" applyAlignment="1" pivotButton="0" quotePrefix="0" xfId="0">
      <alignment horizontal="center"/>
    </xf>
    <xf numFmtId="0" fontId="0" fillId="0" borderId="3" applyAlignment="1" pivotButton="0" quotePrefix="1" xfId="0">
      <alignment horizontal="center"/>
    </xf>
    <xf numFmtId="2" fontId="81" fillId="0" borderId="3" applyAlignment="1" pivotButton="0" quotePrefix="0" xfId="0">
      <alignment horizontal="center"/>
    </xf>
    <xf numFmtId="0" fontId="81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2" fontId="81" fillId="0" borderId="0" applyAlignment="1" pivotButton="0" quotePrefix="0" xfId="0">
      <alignment horizontal="center"/>
    </xf>
    <xf numFmtId="0" fontId="81" fillId="0" borderId="9" applyAlignment="1" pivotButton="0" quotePrefix="0" xfId="0">
      <alignment horizontal="center" vertical="top"/>
    </xf>
    <xf numFmtId="0" fontId="0" fillId="0" borderId="9" applyAlignment="1" pivotButton="0" quotePrefix="1" xfId="0">
      <alignment vertical="top"/>
    </xf>
    <xf numFmtId="0" fontId="81" fillId="0" borderId="9" applyAlignment="1" pivotButton="0" quotePrefix="0" xfId="0">
      <alignment vertical="top"/>
    </xf>
    <xf numFmtId="0" fontId="0" fillId="0" borderId="9" applyAlignment="1" pivotButton="0" quotePrefix="1" xfId="0">
      <alignment horizontal="center" vertical="top"/>
    </xf>
    <xf numFmtId="175" fontId="40" fillId="4" borderId="21" applyAlignment="1" pivotButton="0" quotePrefix="0" xfId="4">
      <alignment horizontal="center" vertical="center"/>
    </xf>
    <xf numFmtId="0" fontId="166" fillId="0" borderId="0" applyAlignment="1" pivotButton="0" quotePrefix="0" xfId="4">
      <alignment horizontal="center" vertical="center"/>
    </xf>
    <xf numFmtId="169" fontId="83" fillId="0" borderId="5" applyAlignment="1" pivotButton="0" quotePrefix="0" xfId="0">
      <alignment horizontal="left" vertical="center"/>
    </xf>
    <xf numFmtId="0" fontId="82" fillId="0" borderId="0" applyAlignment="1" pivotButton="0" quotePrefix="1" xfId="0">
      <alignment vertical="center"/>
    </xf>
    <xf numFmtId="0" fontId="80" fillId="0" borderId="0" applyAlignment="1" pivotButton="0" quotePrefix="0" xfId="0">
      <alignment horizontal="center" vertical="center"/>
    </xf>
    <xf numFmtId="0" fontId="82" fillId="0" borderId="2" applyAlignment="1" pivotButton="0" quotePrefix="0" xfId="0">
      <alignment vertical="center"/>
    </xf>
    <xf numFmtId="0" fontId="82" fillId="0" borderId="5" applyAlignment="1" pivotButton="0" quotePrefix="0" xfId="0">
      <alignment vertical="center"/>
    </xf>
    <xf numFmtId="0" fontId="82" fillId="0" borderId="6" applyAlignment="1" pivotButton="0" quotePrefix="0" xfId="0">
      <alignment vertical="center"/>
    </xf>
    <xf numFmtId="0" fontId="82" fillId="0" borderId="7" applyAlignment="1" pivotButton="0" quotePrefix="0" xfId="0">
      <alignment vertical="center"/>
    </xf>
    <xf numFmtId="0" fontId="82" fillId="0" borderId="8" applyAlignment="1" pivotButton="0" quotePrefix="0" xfId="0">
      <alignment vertical="center"/>
    </xf>
    <xf numFmtId="0" fontId="82" fillId="0" borderId="9" applyAlignment="1" pivotButton="0" quotePrefix="0" xfId="0">
      <alignment vertical="center"/>
    </xf>
    <xf numFmtId="0" fontId="82" fillId="0" borderId="10" applyAlignment="1" pivotButton="0" quotePrefix="0" xfId="0">
      <alignment vertical="center"/>
    </xf>
    <xf numFmtId="0" fontId="82" fillId="0" borderId="11" applyAlignment="1" pivotButton="0" quotePrefix="0" xfId="0">
      <alignment vertical="center"/>
    </xf>
    <xf numFmtId="0" fontId="82" fillId="0" borderId="12" applyAlignment="1" pivotButton="0" quotePrefix="0" xfId="0">
      <alignment vertical="center"/>
    </xf>
    <xf numFmtId="0" fontId="82" fillId="0" borderId="13" applyAlignment="1" pivotButton="0" quotePrefix="0" xfId="0">
      <alignment vertical="center"/>
    </xf>
    <xf numFmtId="0" fontId="77" fillId="0" borderId="1" applyAlignment="1" pivotButton="0" quotePrefix="0" xfId="0">
      <alignment vertical="center"/>
    </xf>
    <xf numFmtId="0" fontId="77" fillId="0" borderId="1" applyAlignment="1" pivotButton="0" quotePrefix="0" xfId="0">
      <alignment horizontal="center" vertical="center"/>
    </xf>
    <xf numFmtId="0" fontId="81" fillId="0" borderId="9" applyAlignment="1" pivotButton="0" quotePrefix="0" xfId="0">
      <alignment vertical="center"/>
    </xf>
    <xf numFmtId="0" fontId="81" fillId="0" borderId="5" applyAlignment="1" pivotButton="0" quotePrefix="0" xfId="0">
      <alignment vertical="center"/>
    </xf>
    <xf numFmtId="0" fontId="81" fillId="0" borderId="14" applyAlignment="1" pivotButton="0" quotePrefix="0" xfId="0">
      <alignment vertical="center"/>
    </xf>
    <xf numFmtId="0" fontId="81" fillId="0" borderId="19" applyAlignment="1" pivotButton="0" quotePrefix="0" xfId="0">
      <alignment vertical="center"/>
    </xf>
    <xf numFmtId="0" fontId="81" fillId="0" borderId="15" applyAlignment="1" pivotButton="0" quotePrefix="0" xfId="0">
      <alignment vertical="center"/>
    </xf>
    <xf numFmtId="0" fontId="81" fillId="0" borderId="18" applyAlignment="1" pivotButton="0" quotePrefix="0" xfId="0">
      <alignment vertical="center"/>
    </xf>
    <xf numFmtId="0" fontId="81" fillId="0" borderId="16" applyAlignment="1" pivotButton="0" quotePrefix="0" xfId="0">
      <alignment vertical="center"/>
    </xf>
    <xf numFmtId="0" fontId="81" fillId="0" borderId="17" applyAlignment="1" pivotButton="0" quotePrefix="0" xfId="0">
      <alignment vertical="center"/>
    </xf>
    <xf numFmtId="0" fontId="81" fillId="0" borderId="1" applyAlignment="1" pivotButton="0" quotePrefix="0" xfId="0">
      <alignment vertical="center"/>
    </xf>
    <xf numFmtId="0" fontId="81" fillId="0" borderId="7" applyAlignment="1" pivotButton="0" quotePrefix="0" xfId="0">
      <alignment vertical="center"/>
    </xf>
    <xf numFmtId="0" fontId="81" fillId="0" borderId="20" applyAlignment="1" pivotButton="0" quotePrefix="0" xfId="0">
      <alignment vertical="center"/>
    </xf>
    <xf numFmtId="0" fontId="81" fillId="0" borderId="6" applyAlignment="1" pivotButton="0" quotePrefix="0" xfId="0">
      <alignment vertical="center"/>
    </xf>
    <xf numFmtId="0" fontId="81" fillId="0" borderId="36" applyAlignment="1" pivotButton="0" quotePrefix="0" xfId="0">
      <alignment vertical="center"/>
    </xf>
    <xf numFmtId="0" fontId="167" fillId="0" borderId="8" pivotButton="0" quotePrefix="0" xfId="5"/>
    <xf numFmtId="0" fontId="167" fillId="0" borderId="3" applyAlignment="1" pivotButton="0" quotePrefix="0" xfId="5">
      <alignment horizontal="center" vertical="center"/>
    </xf>
    <xf numFmtId="0" fontId="167" fillId="0" borderId="9" applyAlignment="1" pivotButton="0" quotePrefix="0" xfId="5">
      <alignment horizontal="center" vertical="center"/>
    </xf>
    <xf numFmtId="0" fontId="167" fillId="0" borderId="10" pivotButton="0" quotePrefix="0" xfId="5"/>
    <xf numFmtId="166" fontId="83" fillId="0" borderId="2" applyAlignment="1" pivotButton="0" quotePrefix="0" xfId="0">
      <alignment vertical="center"/>
    </xf>
    <xf numFmtId="166" fontId="83" fillId="0" borderId="0" applyAlignment="1" pivotButton="0" quotePrefix="0" xfId="0">
      <alignment vertical="center"/>
    </xf>
    <xf numFmtId="0" fontId="167" fillId="0" borderId="2" applyAlignment="1" pivotButton="0" quotePrefix="0" xfId="5">
      <alignment horizontal="center" vertical="center"/>
    </xf>
    <xf numFmtId="0" fontId="167" fillId="0" borderId="0" applyAlignment="1" pivotButton="0" quotePrefix="0" xfId="5">
      <alignment horizontal="center" vertical="center"/>
    </xf>
    <xf numFmtId="2" fontId="167" fillId="0" borderId="0" applyAlignment="1" pivotButton="0" quotePrefix="0" xfId="5">
      <alignment horizontal="center" vertical="center"/>
    </xf>
    <xf numFmtId="0" fontId="167" fillId="0" borderId="6" applyAlignment="1" pivotButton="0" quotePrefix="0" xfId="5">
      <alignment horizontal="center" vertical="center"/>
    </xf>
    <xf numFmtId="0" fontId="167" fillId="0" borderId="1" applyAlignment="1" pivotButton="0" quotePrefix="0" xfId="5">
      <alignment horizontal="center" vertical="center"/>
    </xf>
    <xf numFmtId="2" fontId="167" fillId="0" borderId="1" applyAlignment="1" pivotButton="0" quotePrefix="0" xfId="5">
      <alignment horizontal="center" vertical="center"/>
    </xf>
    <xf numFmtId="0" fontId="0" fillId="0" borderId="8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9" applyAlignment="1" pivotButton="0" quotePrefix="0" xfId="0">
      <alignment horizontal="right" vertical="center"/>
    </xf>
    <xf numFmtId="168" fontId="75" fillId="0" borderId="9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1" applyAlignment="1" pivotButton="0" quotePrefix="0" xfId="0">
      <alignment horizontal="right" vertical="center"/>
    </xf>
    <xf numFmtId="0" fontId="180" fillId="0" borderId="21" applyAlignment="1" pivotButton="0" quotePrefix="0" xfId="4">
      <alignment horizontal="center" vertical="center"/>
    </xf>
    <xf numFmtId="0" fontId="115" fillId="20" borderId="24" applyAlignment="1" pivotButton="0" quotePrefix="0" xfId="4">
      <alignment horizontal="center" vertical="center"/>
    </xf>
    <xf numFmtId="0" fontId="104" fillId="20" borderId="24" applyAlignment="1" pivotButton="0" quotePrefix="0" xfId="0">
      <alignment horizontal="center" vertical="center"/>
    </xf>
    <xf numFmtId="0" fontId="183" fillId="0" borderId="0" applyAlignment="1" pivotButton="0" quotePrefix="0" xfId="4">
      <alignment horizontal="left" vertical="center"/>
    </xf>
    <xf numFmtId="0" fontId="184" fillId="0" borderId="21" applyAlignment="1" pivotButton="0" quotePrefix="0" xfId="4">
      <alignment horizontal="center" vertical="center"/>
    </xf>
    <xf numFmtId="0" fontId="185" fillId="0" borderId="21" applyAlignment="1" pivotButton="0" quotePrefix="0" xfId="4">
      <alignment horizontal="center" vertical="center"/>
    </xf>
    <xf numFmtId="0" fontId="135" fillId="0" borderId="22" applyAlignment="1" pivotButton="0" quotePrefix="0" xfId="4">
      <alignment horizontal="center" vertical="center"/>
    </xf>
    <xf numFmtId="0" fontId="95" fillId="0" borderId="0" applyAlignment="1" pivotButton="0" quotePrefix="1" xfId="0">
      <alignment horizontal="left" vertical="center" indent="2"/>
    </xf>
    <xf numFmtId="0" fontId="125" fillId="6" borderId="0" applyAlignment="1" pivotButton="0" quotePrefix="0" xfId="4">
      <alignment horizontal="center" vertical="center"/>
    </xf>
    <xf numFmtId="0" fontId="40" fillId="4" borderId="0" applyAlignment="1" pivotButton="0" quotePrefix="0" xfId="4">
      <alignment horizontal="center" vertical="center"/>
    </xf>
    <xf numFmtId="0" fontId="186" fillId="5" borderId="0" applyAlignment="1" pivotButton="0" quotePrefix="0" xfId="0">
      <alignment vertical="center"/>
    </xf>
    <xf numFmtId="2" fontId="40" fillId="0" borderId="21" applyAlignment="1" pivotButton="0" quotePrefix="0" xfId="4">
      <alignment horizontal="center" vertical="center"/>
    </xf>
    <xf numFmtId="0" fontId="86" fillId="0" borderId="4" applyAlignment="1" pivotButton="0" quotePrefix="0" xfId="0">
      <alignment horizontal="center" vertical="center"/>
    </xf>
    <xf numFmtId="0" fontId="40" fillId="0" borderId="30" applyAlignment="1" pivotButton="0" quotePrefix="0" xfId="4">
      <alignment horizontal="center" vertical="center"/>
    </xf>
    <xf numFmtId="176" fontId="107" fillId="0" borderId="0" applyAlignment="1" pivotButton="0" quotePrefix="0" xfId="4">
      <alignment horizontal="center" vertical="center"/>
    </xf>
    <xf numFmtId="0" fontId="125" fillId="12" borderId="21" applyAlignment="1" pivotButton="0" quotePrefix="0" xfId="4">
      <alignment horizontal="center" vertical="center"/>
    </xf>
    <xf numFmtId="0" fontId="0" fillId="13" borderId="0" applyAlignment="1" pivotButton="0" quotePrefix="0" xfId="0">
      <alignment vertical="center"/>
    </xf>
    <xf numFmtId="169" fontId="187" fillId="0" borderId="21" applyAlignment="1" pivotButton="0" quotePrefix="0" xfId="4">
      <alignment horizontal="center" vertical="center"/>
    </xf>
    <xf numFmtId="0" fontId="43" fillId="0" borderId="0" applyAlignment="1" pivotButton="0" quotePrefix="0" xfId="4">
      <alignment vertical="center"/>
    </xf>
    <xf numFmtId="0" fontId="188" fillId="0" borderId="0" applyAlignment="1" pivotButton="0" quotePrefix="0" xfId="4">
      <alignment vertical="center"/>
    </xf>
    <xf numFmtId="0" fontId="43" fillId="0" borderId="0" applyAlignment="1" pivotButton="0" quotePrefix="0" xfId="4">
      <alignment horizontal="center" vertical="center" wrapText="1"/>
    </xf>
    <xf numFmtId="0" fontId="0" fillId="0" borderId="4" applyAlignment="1" pivotButton="0" quotePrefix="0" xfId="0">
      <alignment vertical="center"/>
    </xf>
    <xf numFmtId="0" fontId="74" fillId="0" borderId="4" applyAlignment="1" pivotButton="0" quotePrefix="1" xfId="0">
      <alignment vertical="center"/>
    </xf>
    <xf numFmtId="2" fontId="86" fillId="0" borderId="4" applyAlignment="1" pivotButton="0" quotePrefix="1" xfId="0">
      <alignment horizontal="center" vertical="center"/>
    </xf>
    <xf numFmtId="0" fontId="86" fillId="0" borderId="4" applyAlignment="1" pivotButton="0" quotePrefix="1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vertical="top"/>
    </xf>
    <xf numFmtId="0" fontId="104" fillId="4" borderId="40" applyAlignment="1" pivotButton="0" quotePrefix="0" xfId="0">
      <alignment horizontal="center" vertical="center"/>
    </xf>
    <xf numFmtId="0" fontId="104" fillId="3" borderId="24" applyAlignment="1" pivotButton="0" quotePrefix="0" xfId="0">
      <alignment horizontal="center" vertical="center"/>
    </xf>
    <xf numFmtId="0" fontId="115" fillId="3" borderId="24" applyAlignment="1" pivotButton="0" quotePrefix="0" xfId="4">
      <alignment horizontal="center" vertical="center"/>
    </xf>
    <xf numFmtId="0" fontId="114" fillId="3" borderId="24" applyAlignment="1" pivotButton="0" quotePrefix="0" xfId="4">
      <alignment horizontal="center" vertical="center"/>
    </xf>
    <xf numFmtId="0" fontId="86" fillId="0" borderId="98" applyAlignment="1" pivotButton="0" quotePrefix="0" xfId="0">
      <alignment horizontal="center" vertical="center"/>
    </xf>
    <xf numFmtId="2" fontId="86" fillId="0" borderId="98" applyAlignment="1" pivotButton="0" quotePrefix="0" xfId="0">
      <alignment horizontal="center" vertical="center"/>
    </xf>
    <xf numFmtId="0" fontId="115" fillId="3" borderId="133" applyAlignment="1" pivotButton="0" quotePrefix="0" xfId="4">
      <alignment horizontal="center" vertical="center"/>
    </xf>
    <xf numFmtId="0" fontId="0" fillId="0" borderId="91" applyAlignment="1" pivotButton="0" quotePrefix="0" xfId="0">
      <alignment vertical="center"/>
    </xf>
    <xf numFmtId="0" fontId="0" fillId="0" borderId="91" applyAlignment="1" pivotButton="0" quotePrefix="0" xfId="0">
      <alignment horizontal="center" vertical="center"/>
    </xf>
    <xf numFmtId="0" fontId="86" fillId="0" borderId="91" applyAlignment="1" pivotButton="0" quotePrefix="0" xfId="0">
      <alignment horizontal="center" vertical="center"/>
    </xf>
    <xf numFmtId="0" fontId="114" fillId="3" borderId="48" applyAlignment="1" pivotButton="0" quotePrefix="0" xfId="4">
      <alignment horizontal="center" vertical="center"/>
    </xf>
    <xf numFmtId="0" fontId="0" fillId="0" borderId="48" applyAlignment="1" pivotButton="0" quotePrefix="0" xfId="0">
      <alignment vertical="center"/>
    </xf>
    <xf numFmtId="2" fontId="86" fillId="0" borderId="48" applyAlignment="1" pivotButton="0" quotePrefix="0" xfId="0">
      <alignment horizontal="center" vertical="center"/>
    </xf>
    <xf numFmtId="0" fontId="86" fillId="0" borderId="48" applyAlignment="1" pivotButton="0" quotePrefix="0" xfId="0">
      <alignment horizontal="center" vertical="center"/>
    </xf>
    <xf numFmtId="0" fontId="115" fillId="3" borderId="48" applyAlignment="1" pivotButton="0" quotePrefix="0" xfId="4">
      <alignment horizontal="center" vertical="center"/>
    </xf>
    <xf numFmtId="0" fontId="74" fillId="4" borderId="4" applyAlignment="1" pivotButton="0" quotePrefix="0" xfId="0">
      <alignment horizontal="center" vertical="center"/>
    </xf>
    <xf numFmtId="0" fontId="189" fillId="3" borderId="24" applyAlignment="1" pivotButton="0" quotePrefix="0" xfId="0">
      <alignment horizontal="center" vertical="center"/>
    </xf>
    <xf numFmtId="0" fontId="86" fillId="0" borderId="4" applyAlignment="1" pivotButton="0" quotePrefix="0" xfId="0">
      <alignment vertical="top"/>
    </xf>
    <xf numFmtId="0" fontId="189" fillId="3" borderId="48" applyAlignment="1" pivotButton="0" quotePrefix="0" xfId="4">
      <alignment horizontal="center" vertical="center"/>
    </xf>
    <xf numFmtId="0" fontId="86" fillId="0" borderId="48" applyAlignment="1" pivotButton="0" quotePrefix="0" xfId="0">
      <alignment vertical="center"/>
    </xf>
    <xf numFmtId="177" fontId="40" fillId="0" borderId="21" applyAlignment="1" pivotButton="0" quotePrefix="0" xfId="4">
      <alignment horizontal="center" vertical="center"/>
    </xf>
    <xf numFmtId="178" fontId="40" fillId="0" borderId="21" applyAlignment="1" pivotButton="0" quotePrefix="0" xfId="4">
      <alignment horizontal="center" vertical="center"/>
    </xf>
    <xf numFmtId="0" fontId="77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69" fontId="88" fillId="8" borderId="60" applyAlignment="1" pivotButton="0" quotePrefix="0" xfId="4">
      <alignment horizontal="center" vertical="center"/>
    </xf>
    <xf numFmtId="0" fontId="127" fillId="0" borderId="0" applyAlignment="1" pivotButton="0" quotePrefix="0" xfId="4">
      <alignment horizontal="center" vertical="center" wrapText="1"/>
    </xf>
    <xf numFmtId="0" fontId="193" fillId="0" borderId="0" applyAlignment="1" pivotButton="0" quotePrefix="0" xfId="0">
      <alignment horizontal="left" vertical="center"/>
    </xf>
    <xf numFmtId="0" fontId="193" fillId="0" borderId="0" applyAlignment="1" pivotButton="0" quotePrefix="0" xfId="0">
      <alignment horizontal="center" vertical="center"/>
    </xf>
    <xf numFmtId="179" fontId="123" fillId="0" borderId="0" applyAlignment="1" pivotButton="0" quotePrefix="0" xfId="4">
      <alignment horizontal="center" vertical="center"/>
    </xf>
    <xf numFmtId="0" fontId="135" fillId="0" borderId="0" applyAlignment="1" pivotButton="0" quotePrefix="0" xfId="4">
      <alignment horizontal="center" vertical="center"/>
    </xf>
    <xf numFmtId="1" fontId="88" fillId="8" borderId="60" applyAlignment="1" pivotButton="0" quotePrefix="0" xfId="4">
      <alignment horizontal="center" vertical="center"/>
    </xf>
    <xf numFmtId="0" fontId="194" fillId="0" borderId="110" applyAlignment="1" pivotButton="0" quotePrefix="0" xfId="0">
      <alignment horizontal="center" vertical="center" wrapText="1"/>
    </xf>
    <xf numFmtId="0" fontId="8" fillId="0" borderId="0" applyAlignment="1" pivotButton="0" quotePrefix="0" xfId="6">
      <alignment vertical="center"/>
    </xf>
    <xf numFmtId="0" fontId="8" fillId="0" borderId="137" applyAlignment="1" pivotButton="0" quotePrefix="0" xfId="6">
      <alignment vertical="center"/>
    </xf>
    <xf numFmtId="0" fontId="8" fillId="0" borderId="138" applyAlignment="1" pivotButton="0" quotePrefix="0" xfId="6">
      <alignment vertical="center"/>
    </xf>
    <xf numFmtId="0" fontId="8" fillId="0" borderId="139" applyAlignment="1" pivotButton="0" quotePrefix="0" xfId="6">
      <alignment vertical="center"/>
    </xf>
    <xf numFmtId="180" fontId="40" fillId="4" borderId="21" applyAlignment="1" pivotButton="0" quotePrefix="0" xfId="4">
      <alignment horizontal="center" vertical="center"/>
    </xf>
    <xf numFmtId="0" fontId="75" fillId="21" borderId="82" applyAlignment="1" pivotButton="0" quotePrefix="0" xfId="8">
      <alignment horizontal="center" vertical="center"/>
    </xf>
    <xf numFmtId="0" fontId="75" fillId="21" borderId="86" applyAlignment="1" pivotButton="0" quotePrefix="0" xfId="8">
      <alignment horizontal="center" vertical="center"/>
    </xf>
    <xf numFmtId="0" fontId="75" fillId="21" borderId="87" applyAlignment="1" pivotButton="0" quotePrefix="0" xfId="8">
      <alignment horizontal="center" vertical="center"/>
    </xf>
    <xf numFmtId="0" fontId="7" fillId="0" borderId="0" applyAlignment="1" pivotButton="0" quotePrefix="0" xfId="8">
      <alignment vertical="center"/>
    </xf>
    <xf numFmtId="0" fontId="7" fillId="0" borderId="140" applyAlignment="1" pivotButton="0" quotePrefix="0" xfId="8">
      <alignment horizontal="center" vertical="center"/>
    </xf>
    <xf numFmtId="0" fontId="7" fillId="0" borderId="89" applyAlignment="1" pivotButton="0" quotePrefix="0" xfId="8">
      <alignment horizontal="center" vertical="center"/>
    </xf>
    <xf numFmtId="1" fontId="7" fillId="0" borderId="141" applyAlignment="1" pivotButton="0" quotePrefix="0" xfId="8">
      <alignment horizontal="center" vertical="center"/>
    </xf>
    <xf numFmtId="0" fontId="7" fillId="0" borderId="142" applyAlignment="1" pivotButton="0" quotePrefix="0" xfId="8">
      <alignment vertical="center"/>
    </xf>
    <xf numFmtId="0" fontId="7" fillId="0" borderId="24" applyAlignment="1" pivotButton="0" quotePrefix="0" xfId="8">
      <alignment horizontal="center" vertical="center"/>
    </xf>
    <xf numFmtId="0" fontId="200" fillId="0" borderId="4" applyAlignment="1" pivotButton="0" quotePrefix="0" xfId="8">
      <alignment horizontal="center" vertical="center"/>
    </xf>
    <xf numFmtId="1" fontId="74" fillId="0" borderId="143" applyAlignment="1" pivotButton="0" quotePrefix="0" xfId="8">
      <alignment horizontal="center" vertical="center"/>
    </xf>
    <xf numFmtId="0" fontId="74" fillId="0" borderId="4" applyAlignment="1" pivotButton="0" quotePrefix="0" xfId="8">
      <alignment horizontal="center" vertical="center"/>
    </xf>
    <xf numFmtId="0" fontId="74" fillId="0" borderId="31" applyAlignment="1" pivotButton="0" quotePrefix="0" xfId="8">
      <alignment vertical="center"/>
    </xf>
    <xf numFmtId="0" fontId="7" fillId="0" borderId="4" applyAlignment="1" pivotButton="0" quotePrefix="0" xfId="8">
      <alignment horizontal="center" vertical="center"/>
    </xf>
    <xf numFmtId="1" fontId="7" fillId="0" borderId="143" applyAlignment="1" pivotButton="0" quotePrefix="0" xfId="8">
      <alignment horizontal="center" vertical="center"/>
    </xf>
    <xf numFmtId="0" fontId="7" fillId="0" borderId="31" applyAlignment="1" pivotButton="0" quotePrefix="0" xfId="8">
      <alignment vertical="center"/>
    </xf>
    <xf numFmtId="1" fontId="202" fillId="0" borderId="143" applyAlignment="1" pivotButton="0" quotePrefix="0" xfId="8">
      <alignment horizontal="center" vertical="center"/>
    </xf>
    <xf numFmtId="1" fontId="200" fillId="0" borderId="143" applyAlignment="1" pivotButton="0" quotePrefix="0" xfId="8">
      <alignment horizontal="center" vertical="center"/>
    </xf>
    <xf numFmtId="0" fontId="7" fillId="0" borderId="26" applyAlignment="1" pivotButton="0" quotePrefix="0" xfId="8">
      <alignment horizontal="center" vertical="center"/>
    </xf>
    <xf numFmtId="0" fontId="7" fillId="0" borderId="34" applyAlignment="1" pivotButton="0" quotePrefix="0" xfId="8">
      <alignment horizontal="center" vertical="center"/>
    </xf>
    <xf numFmtId="1" fontId="7" fillId="0" borderId="144" applyAlignment="1" pivotButton="0" quotePrefix="0" xfId="8">
      <alignment horizontal="center" vertical="center"/>
    </xf>
    <xf numFmtId="0" fontId="7" fillId="0" borderId="35" applyAlignment="1" pivotButton="0" quotePrefix="0" xfId="8">
      <alignment vertical="center"/>
    </xf>
    <xf numFmtId="0" fontId="7" fillId="0" borderId="0" applyAlignment="1" pivotButton="0" quotePrefix="0" xfId="8">
      <alignment horizontal="center" vertical="center"/>
    </xf>
    <xf numFmtId="1" fontId="7" fillId="0" borderId="0" applyAlignment="1" pivotButton="0" quotePrefix="0" xfId="8">
      <alignment horizontal="center" vertical="center"/>
    </xf>
    <xf numFmtId="0" fontId="75" fillId="21" borderId="86" applyAlignment="1" pivotButton="0" quotePrefix="0" xfId="8">
      <alignment horizontal="center" vertical="center" wrapText="1"/>
    </xf>
    <xf numFmtId="0" fontId="104" fillId="0" borderId="68" applyAlignment="1" pivotButton="0" quotePrefix="0" xfId="0">
      <alignment horizontal="center" vertical="center"/>
    </xf>
    <xf numFmtId="0" fontId="104" fillId="0" borderId="145" applyAlignment="1" pivotButton="0" quotePrefix="0" xfId="0">
      <alignment horizontal="center" vertical="center"/>
    </xf>
    <xf numFmtId="0" fontId="104" fillId="0" borderId="27" applyAlignment="1" pivotButton="0" quotePrefix="0" xfId="0">
      <alignment horizontal="center" vertical="center"/>
    </xf>
    <xf numFmtId="0" fontId="104" fillId="0" borderId="69" applyAlignment="1" pivotButton="0" quotePrefix="0" xfId="0">
      <alignment horizontal="center" vertical="center"/>
    </xf>
    <xf numFmtId="0" fontId="86" fillId="0" borderId="0" applyAlignment="1" pivotButton="0" quotePrefix="0" xfId="0">
      <alignment horizontal="center" vertical="center"/>
    </xf>
    <xf numFmtId="0" fontId="203" fillId="0" borderId="0" applyAlignment="1" pivotButton="0" quotePrefix="0" xfId="0">
      <alignment horizontal="center" vertical="center"/>
    </xf>
    <xf numFmtId="175" fontId="111" fillId="7" borderId="0" applyAlignment="1" pivotButton="0" quotePrefix="0" xfId="4">
      <alignment vertical="center"/>
    </xf>
    <xf numFmtId="175" fontId="40" fillId="5" borderId="21" applyAlignment="1" pivotButton="0" quotePrefix="0" xfId="4">
      <alignment horizontal="center" vertical="center"/>
    </xf>
    <xf numFmtId="0" fontId="71" fillId="0" borderId="21" applyAlignment="1" pivotButton="0" quotePrefix="0" xfId="4">
      <alignment horizontal="center" vertical="center" wrapText="1"/>
    </xf>
    <xf numFmtId="0" fontId="94" fillId="0" borderId="0" applyAlignment="1" pivotButton="0" quotePrefix="0" xfId="0">
      <alignment horizontal="center" vertical="center"/>
    </xf>
    <xf numFmtId="0" fontId="94" fillId="0" borderId="3" applyAlignment="1" pivotButton="0" quotePrefix="0" xfId="0">
      <alignment vertical="center"/>
    </xf>
    <xf numFmtId="181" fontId="94" fillId="0" borderId="52" applyAlignment="1" pivotButton="0" quotePrefix="0" xfId="0">
      <alignment horizontal="center" vertical="center"/>
    </xf>
    <xf numFmtId="176" fontId="94" fillId="0" borderId="3" applyAlignment="1" pivotButton="0" quotePrefix="0" xfId="0">
      <alignment horizontal="center" vertical="center"/>
    </xf>
    <xf numFmtId="0" fontId="94" fillId="0" borderId="2" applyAlignment="1" pivotButton="0" quotePrefix="0" xfId="0">
      <alignment vertical="center"/>
    </xf>
    <xf numFmtId="0" fontId="94" fillId="0" borderId="5" applyAlignment="1" pivotButton="0" quotePrefix="0" xfId="0">
      <alignment vertical="center"/>
    </xf>
    <xf numFmtId="182" fontId="94" fillId="0" borderId="0" applyAlignment="1" pivotButton="0" quotePrefix="0" xfId="0">
      <alignment horizontal="left" vertical="center"/>
    </xf>
    <xf numFmtId="181" fontId="94" fillId="0" borderId="5" applyAlignment="1" pivotButton="0" quotePrefix="0" xfId="0">
      <alignment vertical="center"/>
    </xf>
    <xf numFmtId="176" fontId="94" fillId="0" borderId="0" applyAlignment="1" pivotButton="0" quotePrefix="0" xfId="0">
      <alignment vertical="center"/>
    </xf>
    <xf numFmtId="0" fontId="186" fillId="0" borderId="0" applyAlignment="1" pivotButton="0" quotePrefix="0" xfId="0">
      <alignment vertical="center"/>
    </xf>
    <xf numFmtId="171" fontId="186" fillId="0" borderId="0" applyAlignment="1" pivotButton="0" quotePrefix="0" xfId="2">
      <alignment vertical="center"/>
    </xf>
    <xf numFmtId="171" fontId="0" fillId="0" borderId="0" applyAlignment="1" pivotButton="0" quotePrefix="0" xfId="2">
      <alignment vertical="center"/>
    </xf>
    <xf numFmtId="183" fontId="0" fillId="0" borderId="4" applyAlignment="1" pivotButton="0" quotePrefix="0" xfId="0">
      <alignment horizontal="center" vertical="center"/>
    </xf>
    <xf numFmtId="2" fontId="40" fillId="4" borderId="21" applyAlignment="1" pivotButton="0" quotePrefix="0" xfId="4">
      <alignment horizontal="center" vertical="center"/>
    </xf>
    <xf numFmtId="0" fontId="205" fillId="0" borderId="150" applyAlignment="1" pivotButton="0" quotePrefix="0" xfId="4">
      <alignment horizontal="center" vertical="center" wrapText="1"/>
    </xf>
    <xf numFmtId="0" fontId="205" fillId="0" borderId="150" applyAlignment="1" pivotButton="0" quotePrefix="0" xfId="4">
      <alignment horizontal="right" vertical="center" wrapText="1"/>
    </xf>
    <xf numFmtId="0" fontId="205" fillId="0" borderId="151" applyAlignment="1" pivotButton="0" quotePrefix="0" xfId="4">
      <alignment horizontal="right" vertical="center" wrapText="1"/>
    </xf>
    <xf numFmtId="0" fontId="205" fillId="0" borderId="0" applyAlignment="1" pivotButton="0" quotePrefix="0" xfId="4">
      <alignment vertical="center" wrapText="1"/>
    </xf>
    <xf numFmtId="0" fontId="205" fillId="0" borderId="186" applyAlignment="1" pivotButton="0" quotePrefix="0" xfId="4">
      <alignment horizontal="left" vertical="center" wrapText="1"/>
    </xf>
    <xf numFmtId="0" fontId="205" fillId="0" borderId="187" applyAlignment="1" pivotButton="0" quotePrefix="0" xfId="4">
      <alignment horizontal="left" vertical="center" wrapText="1"/>
    </xf>
    <xf numFmtId="184" fontId="42" fillId="0" borderId="163" applyAlignment="1" pivotButton="0" quotePrefix="0" xfId="4">
      <alignment horizontal="center" vertical="center" shrinkToFit="1"/>
    </xf>
    <xf numFmtId="184" fontId="42" fillId="0" borderId="164" applyAlignment="1" pivotButton="0" quotePrefix="0" xfId="4">
      <alignment horizontal="center" vertical="center" shrinkToFit="1"/>
    </xf>
    <xf numFmtId="0" fontId="81" fillId="0" borderId="61" pivotButton="0" quotePrefix="0" xfId="0"/>
    <xf numFmtId="0" fontId="0" fillId="0" borderId="3" pivotButton="0" quotePrefix="1" xfId="0"/>
    <xf numFmtId="0" fontId="81" fillId="0" borderId="3" pivotButton="0" quotePrefix="0" xfId="0"/>
    <xf numFmtId="0" fontId="115" fillId="3" borderId="0" applyAlignment="1" pivotButton="0" quotePrefix="0" xfId="4">
      <alignment horizontal="center" vertical="center"/>
    </xf>
    <xf numFmtId="0" fontId="189" fillId="3" borderId="0" applyAlignment="1" pivotButton="0" quotePrefix="0" xfId="0">
      <alignment horizontal="center" vertical="center"/>
    </xf>
    <xf numFmtId="0" fontId="189" fillId="3" borderId="0" applyAlignment="1" pivotButton="0" quotePrefix="0" xfId="4">
      <alignment horizontal="center" vertical="center"/>
    </xf>
    <xf numFmtId="0" fontId="82" fillId="0" borderId="3" applyAlignment="1" pivotButton="0" quotePrefix="0" xfId="0">
      <alignment vertical="center"/>
    </xf>
    <xf numFmtId="0" fontId="114" fillId="3" borderId="0" applyAlignment="1" pivotButton="0" quotePrefix="0" xfId="4">
      <alignment horizontal="center" vertical="center"/>
    </xf>
    <xf numFmtId="0" fontId="81" fillId="0" borderId="61" applyAlignment="1" pivotButton="0" quotePrefix="0" xfId="0">
      <alignment horizontal="center"/>
    </xf>
    <xf numFmtId="0" fontId="0" fillId="22" borderId="4" applyAlignment="1" pivotButton="0" quotePrefix="0" xfId="0">
      <alignment horizontal="center" vertical="center"/>
    </xf>
    <xf numFmtId="0" fontId="88" fillId="9" borderId="56" applyAlignment="1" pivotButton="0" quotePrefix="0" xfId="4">
      <alignment horizontal="center" vertical="center"/>
    </xf>
    <xf numFmtId="0" fontId="120" fillId="8" borderId="0" applyAlignment="1" pivotButton="0" quotePrefix="0" xfId="4">
      <alignment horizontal="center" vertical="center"/>
    </xf>
    <xf numFmtId="0" fontId="131" fillId="12" borderId="21" applyAlignment="1" pivotButton="0" quotePrefix="0" xfId="4">
      <alignment horizontal="center" vertical="center"/>
    </xf>
    <xf numFmtId="0" fontId="131" fillId="12" borderId="136" applyAlignment="1" pivotButton="0" quotePrefix="0" xfId="4">
      <alignment horizontal="center" vertical="center"/>
    </xf>
    <xf numFmtId="0" fontId="81" fillId="0" borderId="1" pivotButton="0" quotePrefix="0" xfId="0"/>
    <xf numFmtId="0" fontId="0" fillId="0" borderId="1" pivotButton="0" quotePrefix="1" xfId="0"/>
    <xf numFmtId="0" fontId="0" fillId="0" borderId="61" pivotButton="0" quotePrefix="1" xfId="0"/>
    <xf numFmtId="171" fontId="164" fillId="0" borderId="0" applyAlignment="1" pivotButton="0" quotePrefix="0" xfId="2">
      <alignment horizontal="center" vertical="center"/>
    </xf>
    <xf numFmtId="0" fontId="220" fillId="0" borderId="0" applyAlignment="1" pivotButton="0" quotePrefix="0" xfId="0">
      <alignment vertical="center"/>
    </xf>
    <xf numFmtId="185" fontId="220" fillId="0" borderId="0" applyAlignment="1" pivotButton="0" quotePrefix="0" xfId="0">
      <alignment vertical="center"/>
    </xf>
    <xf numFmtId="186" fontId="164" fillId="0" borderId="0" applyAlignment="1" pivotButton="0" quotePrefix="0" xfId="2">
      <alignment horizontal="center" vertical="center"/>
    </xf>
    <xf numFmtId="187" fontId="164" fillId="0" borderId="0" applyAlignment="1" pivotButton="0" quotePrefix="0" xfId="2">
      <alignment horizontal="center" vertical="center"/>
    </xf>
    <xf numFmtId="171" fontId="164" fillId="4" borderId="0" applyAlignment="1" pivotButton="0" quotePrefix="0" xfId="2">
      <alignment horizontal="center" vertical="center"/>
    </xf>
    <xf numFmtId="0" fontId="164" fillId="4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205" applyAlignment="1" pivotButton="0" quotePrefix="1" xfId="0">
      <alignment vertical="top"/>
    </xf>
    <xf numFmtId="0" fontId="81" fillId="0" borderId="205" applyAlignment="1" pivotButton="0" quotePrefix="0" xfId="0">
      <alignment vertical="top"/>
    </xf>
    <xf numFmtId="0" fontId="81" fillId="0" borderId="205" applyAlignment="1" pivotButton="0" quotePrefix="0" xfId="0">
      <alignment horizontal="center" vertical="top"/>
    </xf>
    <xf numFmtId="0" fontId="82" fillId="0" borderId="27" applyAlignment="1" pivotButton="0" quotePrefix="0" xfId="0">
      <alignment vertical="center"/>
    </xf>
    <xf numFmtId="0" fontId="82" fillId="0" borderId="204" applyAlignment="1" pivotButton="0" quotePrefix="0" xfId="0">
      <alignment vertical="center"/>
    </xf>
    <xf numFmtId="0" fontId="82" fillId="0" borderId="205" applyAlignment="1" pivotButton="0" quotePrefix="0" xfId="0">
      <alignment vertical="center"/>
    </xf>
    <xf numFmtId="0" fontId="120" fillId="4" borderId="21" applyAlignment="1" pivotButton="0" quotePrefix="0" xfId="4">
      <alignment horizontal="center" vertical="center"/>
    </xf>
    <xf numFmtId="2" fontId="88" fillId="8" borderId="55" applyAlignment="1" pivotButton="0" quotePrefix="0" xfId="4">
      <alignment horizontal="center" vertical="center"/>
    </xf>
    <xf numFmtId="2" fontId="222" fillId="0" borderId="21" applyAlignment="1" pivotButton="0" quotePrefix="0" xfId="4">
      <alignment horizontal="center" vertical="center"/>
    </xf>
    <xf numFmtId="0" fontId="94" fillId="0" borderId="3" applyAlignment="1" pivotButton="0" quotePrefix="0" xfId="0">
      <alignment horizontal="center" vertical="center"/>
    </xf>
    <xf numFmtId="0" fontId="224" fillId="0" borderId="5" applyAlignment="1" pivotButton="0" quotePrefix="0" xfId="0">
      <alignment vertical="center"/>
    </xf>
    <xf numFmtId="2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165" fontId="219" fillId="2" borderId="50" applyAlignment="1" pivotButton="0" quotePrefix="0" xfId="0">
      <alignment horizontal="right" vertical="center"/>
    </xf>
    <xf numFmtId="182" fontId="88" fillId="8" borderId="60" applyAlignment="1" pivotButton="0" quotePrefix="0" xfId="4">
      <alignment horizontal="center" vertical="center"/>
    </xf>
    <xf numFmtId="188" fontId="94" fillId="0" borderId="52" applyAlignment="1" pivotButton="0" quotePrefix="0" xfId="0">
      <alignment horizontal="center" vertical="center"/>
    </xf>
    <xf numFmtId="188" fontId="94" fillId="0" borderId="5" applyAlignment="1" pivotButton="0" quotePrefix="0" xfId="0">
      <alignment horizontal="center" vertical="center"/>
    </xf>
    <xf numFmtId="173" fontId="94" fillId="0" borderId="3" applyAlignment="1" pivotButton="0" quotePrefix="0" xfId="0">
      <alignment horizontal="center" vertical="center"/>
    </xf>
    <xf numFmtId="173" fontId="94" fillId="0" borderId="0" applyAlignment="1" pivotButton="0" quotePrefix="0" xfId="0">
      <alignment horizontal="center" vertical="center"/>
    </xf>
    <xf numFmtId="0" fontId="5" fillId="0" borderId="4" applyAlignment="1" pivotButton="0" quotePrefix="0" xfId="8">
      <alignment horizontal="center" vertical="center"/>
    </xf>
    <xf numFmtId="0" fontId="225" fillId="0" borderId="0" applyAlignment="1" pivotButton="0" quotePrefix="0" xfId="0">
      <alignment vertical="center"/>
    </xf>
    <xf numFmtId="0" fontId="226" fillId="0" borderId="0" applyAlignment="1" pivotButton="0" quotePrefix="0" xfId="0">
      <alignment vertical="center"/>
    </xf>
    <xf numFmtId="0" fontId="227" fillId="0" borderId="0" applyAlignment="1" pivotButton="0" quotePrefix="0" xfId="0">
      <alignment vertical="center"/>
    </xf>
    <xf numFmtId="0" fontId="228" fillId="0" borderId="0" applyAlignment="1" pivotButton="0" quotePrefix="0" xfId="0">
      <alignment vertical="center"/>
    </xf>
    <xf numFmtId="185" fontId="40" fillId="23" borderId="21" applyAlignment="1" pivotButton="0" quotePrefix="0" xfId="4">
      <alignment horizontal="center" vertical="center"/>
    </xf>
    <xf numFmtId="0" fontId="92" fillId="23" borderId="146" applyAlignment="1" pivotButton="0" quotePrefix="0" xfId="4">
      <alignment horizontal="center" vertical="center"/>
    </xf>
    <xf numFmtId="0" fontId="92" fillId="23" borderId="0" applyAlignment="1" pivotButton="0" quotePrefix="0" xfId="4">
      <alignment horizontal="center" vertical="center"/>
    </xf>
    <xf numFmtId="0" fontId="92" fillId="23" borderId="21" applyAlignment="1" pivotButton="0" quotePrefix="0" xfId="4">
      <alignment horizontal="center" vertical="center"/>
    </xf>
    <xf numFmtId="0" fontId="92" fillId="23" borderId="53" applyAlignment="1" pivotButton="0" quotePrefix="0" xfId="4">
      <alignment horizontal="center" vertical="center"/>
    </xf>
    <xf numFmtId="0" fontId="230" fillId="24" borderId="4" applyAlignment="1" pivotButton="0" quotePrefix="0" xfId="4">
      <alignment horizontal="center" vertical="center"/>
    </xf>
    <xf numFmtId="189" fontId="230" fillId="24" borderId="4" applyAlignment="1" pivotButton="0" quotePrefix="0" xfId="4">
      <alignment horizontal="center" vertical="center"/>
    </xf>
    <xf numFmtId="181" fontId="230" fillId="24" borderId="4" applyAlignment="1" pivotButton="0" quotePrefix="0" xfId="4">
      <alignment horizontal="center" vertical="center"/>
    </xf>
    <xf numFmtId="190" fontId="230" fillId="24" borderId="4" applyAlignment="1" pivotButton="0" quotePrefix="0" xfId="4">
      <alignment horizontal="center" vertical="center"/>
    </xf>
    <xf numFmtId="190" fontId="231" fillId="25" borderId="4" applyAlignment="1" pivotButton="0" quotePrefix="0" xfId="4">
      <alignment horizontal="center" vertical="center"/>
    </xf>
    <xf numFmtId="0" fontId="231" fillId="25" borderId="4" applyAlignment="1" pivotButton="0" quotePrefix="0" xfId="4">
      <alignment horizontal="center" vertical="center"/>
    </xf>
    <xf numFmtId="0" fontId="100" fillId="0" borderId="242" applyAlignment="1" pivotButton="0" quotePrefix="0" xfId="0">
      <alignment horizontal="center" vertical="center" wrapText="1"/>
    </xf>
    <xf numFmtId="184" fontId="42" fillId="0" borderId="266" applyAlignment="1" pivotButton="0" quotePrefix="0" xfId="4">
      <alignment horizontal="center" vertical="center" shrinkToFit="1"/>
    </xf>
    <xf numFmtId="0" fontId="184" fillId="0" borderId="0" applyAlignment="1" pivotButton="0" quotePrefix="0" xfId="19">
      <alignment horizontal="center" vertical="center"/>
    </xf>
    <xf numFmtId="0" fontId="0" fillId="0" borderId="267" applyAlignment="1" pivotButton="0" quotePrefix="0" xfId="0">
      <alignment vertical="center"/>
    </xf>
    <xf numFmtId="0" fontId="0" fillId="0" borderId="268" applyAlignment="1" pivotButton="0" quotePrefix="0" xfId="0">
      <alignment vertical="center"/>
    </xf>
    <xf numFmtId="0" fontId="0" fillId="0" borderId="269" applyAlignment="1" pivotButton="0" quotePrefix="0" xfId="0">
      <alignment vertical="center"/>
    </xf>
    <xf numFmtId="0" fontId="0" fillId="0" borderId="37" applyAlignment="1" pivotButton="0" quotePrefix="0" xfId="0">
      <alignment vertical="center"/>
    </xf>
    <xf numFmtId="0" fontId="0" fillId="0" borderId="44" applyAlignment="1" pivotButton="0" quotePrefix="0" xfId="0">
      <alignment vertical="center"/>
    </xf>
    <xf numFmtId="0" fontId="0" fillId="0" borderId="270" applyAlignment="1" pivotButton="0" quotePrefix="0" xfId="0">
      <alignment vertical="center"/>
    </xf>
    <xf numFmtId="0" fontId="0" fillId="0" borderId="271" applyAlignment="1" pivotButton="0" quotePrefix="0" xfId="0">
      <alignment vertical="center"/>
    </xf>
    <xf numFmtId="0" fontId="0" fillId="0" borderId="272" applyAlignment="1" pivotButton="0" quotePrefix="0" xfId="0">
      <alignment vertical="center"/>
    </xf>
    <xf numFmtId="0" fontId="248" fillId="0" borderId="0" applyAlignment="1" pivotButton="0" quotePrefix="0" xfId="19">
      <alignment horizontal="center" vertical="center"/>
    </xf>
    <xf numFmtId="0" fontId="247" fillId="0" borderId="0" applyAlignment="1" pivotButton="0" quotePrefix="0" xfId="19">
      <alignment vertical="center"/>
    </xf>
    <xf numFmtId="0" fontId="249" fillId="0" borderId="0" applyAlignment="1" pivotButton="0" quotePrefix="0" xfId="19">
      <alignment vertical="center"/>
    </xf>
    <xf numFmtId="0" fontId="249" fillId="0" borderId="11" applyAlignment="1" pivotButton="0" quotePrefix="0" xfId="19">
      <alignment horizontal="left" vertical="center"/>
    </xf>
    <xf numFmtId="0" fontId="166" fillId="0" borderId="0" applyAlignment="1" pivotButton="0" quotePrefix="0" xfId="19">
      <alignment vertical="center"/>
    </xf>
    <xf numFmtId="0" fontId="184" fillId="0" borderId="0" applyAlignment="1" pivotButton="0" quotePrefix="0" xfId="19">
      <alignment vertical="center"/>
    </xf>
    <xf numFmtId="0" fontId="247" fillId="0" borderId="267" applyAlignment="1" pivotButton="0" quotePrefix="0" xfId="19">
      <alignment vertical="center"/>
    </xf>
    <xf numFmtId="0" fontId="247" fillId="0" borderId="268" applyAlignment="1" pivotButton="0" quotePrefix="0" xfId="19">
      <alignment vertical="center"/>
    </xf>
    <xf numFmtId="0" fontId="247" fillId="0" borderId="269" applyAlignment="1" pivotButton="0" quotePrefix="0" xfId="19">
      <alignment vertical="center"/>
    </xf>
    <xf numFmtId="0" fontId="247" fillId="0" borderId="37" applyAlignment="1" pivotButton="0" quotePrefix="0" xfId="19">
      <alignment vertical="center"/>
    </xf>
    <xf numFmtId="0" fontId="247" fillId="0" borderId="44" applyAlignment="1" pivotButton="0" quotePrefix="0" xfId="19">
      <alignment vertical="center"/>
    </xf>
    <xf numFmtId="0" fontId="247" fillId="0" borderId="11" applyAlignment="1" pivotButton="0" quotePrefix="0" xfId="19">
      <alignment vertical="center"/>
    </xf>
    <xf numFmtId="0" fontId="247" fillId="0" borderId="38" applyAlignment="1" pivotButton="0" quotePrefix="0" xfId="19">
      <alignment vertical="center"/>
    </xf>
    <xf numFmtId="0" fontId="247" fillId="0" borderId="46" applyAlignment="1" pivotButton="0" quotePrefix="0" xfId="19">
      <alignment vertical="center"/>
    </xf>
    <xf numFmtId="14" fontId="40" fillId="4" borderId="21" applyAlignment="1" pivotButton="0" quotePrefix="0" xfId="4">
      <alignment horizontal="center" vertical="center"/>
    </xf>
    <xf numFmtId="0" fontId="135" fillId="0" borderId="30" applyAlignment="1" pivotButton="0" quotePrefix="0" xfId="4">
      <alignment horizontal="center" vertical="center"/>
    </xf>
    <xf numFmtId="0" fontId="92" fillId="0" borderId="47" applyAlignment="1" pivotButton="0" quotePrefix="0" xfId="0">
      <alignment horizontal="center" vertical="center"/>
    </xf>
    <xf numFmtId="0" fontId="42" fillId="0" borderId="47" applyAlignment="1" pivotButton="0" quotePrefix="0" xfId="4">
      <alignment horizontal="left" vertical="center"/>
    </xf>
    <xf numFmtId="2" fontId="122" fillId="0" borderId="276" applyAlignment="1" pivotButton="0" quotePrefix="0" xfId="4">
      <alignment horizontal="center" vertical="center"/>
    </xf>
    <xf numFmtId="191" fontId="43" fillId="4" borderId="21" applyAlignment="1" pivotButton="0" quotePrefix="0" xfId="4">
      <alignment horizontal="center" vertical="center"/>
    </xf>
    <xf numFmtId="0" fontId="51" fillId="0" borderId="0" applyAlignment="1" pivotButton="0" quotePrefix="0" xfId="4">
      <alignment vertical="top"/>
    </xf>
    <xf numFmtId="0" fontId="40" fillId="0" borderId="47" applyAlignment="1" pivotButton="0" quotePrefix="0" xfId="4">
      <alignment horizontal="left" vertical="center" wrapText="1"/>
    </xf>
    <xf numFmtId="166" fontId="40" fillId="0" borderId="47" applyAlignment="1" pivotButton="0" quotePrefix="0" xfId="4">
      <alignment vertical="center"/>
    </xf>
    <xf numFmtId="0" fontId="128" fillId="0" borderId="277" applyAlignment="1" pivotButton="0" quotePrefix="0" xfId="4">
      <alignment horizontal="center" vertical="center"/>
    </xf>
    <xf numFmtId="0" fontId="254" fillId="0" borderId="47" applyAlignment="1" pivotButton="0" quotePrefix="0" xfId="4">
      <alignment horizontal="left" vertical="center"/>
    </xf>
    <xf numFmtId="0" fontId="182" fillId="0" borderId="47" applyAlignment="1" pivotButton="0" quotePrefix="0" xfId="4">
      <alignment horizontal="left" vertical="center"/>
    </xf>
    <xf numFmtId="0" fontId="166" fillId="4" borderId="4" applyAlignment="1" pivotButton="0" quotePrefix="0" xfId="4">
      <alignment horizontal="center" vertical="center"/>
    </xf>
    <xf numFmtId="0" fontId="120" fillId="13" borderId="4" applyAlignment="1" pivotButton="0" quotePrefix="0" xfId="4">
      <alignment horizontal="center" vertical="center"/>
    </xf>
    <xf numFmtId="170" fontId="83" fillId="0" borderId="0" applyAlignment="1" pivotButton="0" quotePrefix="0" xfId="0">
      <alignment vertical="center"/>
    </xf>
    <xf numFmtId="1" fontId="255" fillId="0" borderId="4" applyAlignment="1" pivotButton="0" quotePrefix="0" xfId="0">
      <alignment horizontal="center" vertical="center"/>
    </xf>
    <xf numFmtId="2" fontId="82" fillId="0" borderId="4" applyAlignment="1" pivotButton="0" quotePrefix="0" xfId="0">
      <alignment horizontal="center" vertical="center"/>
    </xf>
    <xf numFmtId="0" fontId="260" fillId="0" borderId="4" applyAlignment="1" pivotButton="0" quotePrefix="0" xfId="0">
      <alignment horizontal="center" vertical="center"/>
    </xf>
    <xf numFmtId="0" fontId="260" fillId="0" borderId="0" applyAlignment="1" pivotButton="0" quotePrefix="0" xfId="0">
      <alignment horizontal="center" vertical="center"/>
    </xf>
    <xf numFmtId="0" fontId="256" fillId="0" borderId="0" applyAlignment="1" pivotButton="0" quotePrefix="0" xfId="0">
      <alignment horizontal="center" vertical="center" wrapText="1"/>
    </xf>
    <xf numFmtId="0" fontId="260" fillId="0" borderId="0" applyAlignment="1" pivotButton="0" quotePrefix="0" xfId="0">
      <alignment vertical="center"/>
    </xf>
    <xf numFmtId="0" fontId="258" fillId="0" borderId="0" applyAlignment="1" pivotButton="0" quotePrefix="0" xfId="0">
      <alignment vertical="center"/>
    </xf>
    <xf numFmtId="0" fontId="259" fillId="0" borderId="0" applyAlignment="1" pivotButton="0" quotePrefix="0" xfId="0">
      <alignment horizontal="center" vertical="center" wrapText="1"/>
    </xf>
    <xf numFmtId="170" fontId="260" fillId="0" borderId="0" applyAlignment="1" pivotButton="0" quotePrefix="0" xfId="0">
      <alignment horizontal="center" vertical="center"/>
    </xf>
    <xf numFmtId="166" fontId="260" fillId="0" borderId="0" applyAlignment="1" pivotButton="0" quotePrefix="0" xfId="0">
      <alignment horizontal="center" vertical="center"/>
    </xf>
    <xf numFmtId="170" fontId="0" fillId="0" borderId="0" applyAlignment="1" pivotButton="0" quotePrefix="0" xfId="0">
      <alignment vertical="center"/>
    </xf>
    <xf numFmtId="166" fontId="82" fillId="0" borderId="0" applyAlignment="1" pivotButton="0" quotePrefix="0" xfId="0">
      <alignment vertical="center" shrinkToFit="1"/>
    </xf>
    <xf numFmtId="166" fontId="82" fillId="0" borderId="0" applyAlignment="1" pivotButton="0" quotePrefix="0" xfId="0">
      <alignment vertical="center"/>
    </xf>
    <xf numFmtId="1" fontId="82" fillId="0" borderId="0" applyAlignment="1" pivotButton="0" quotePrefix="0" xfId="0">
      <alignment vertical="center"/>
    </xf>
    <xf numFmtId="170" fontId="82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9" fontId="166" fillId="4" borderId="4" applyAlignment="1" pivotButton="0" quotePrefix="0" xfId="4">
      <alignment horizontal="center" vertical="center"/>
    </xf>
    <xf numFmtId="0" fontId="51" fillId="0" borderId="0" applyAlignment="1" pivotButton="0" quotePrefix="0" xfId="4">
      <alignment vertical="center" wrapText="1"/>
    </xf>
    <xf numFmtId="0" fontId="48" fillId="0" borderId="0" applyAlignment="1" pivotButton="0" quotePrefix="0" xfId="4">
      <alignment vertical="center" wrapText="1"/>
    </xf>
    <xf numFmtId="0" fontId="42" fillId="0" borderId="22" applyAlignment="1" pivotButton="0" quotePrefix="0" xfId="4">
      <alignment horizontal="left" vertical="center" wrapText="1"/>
    </xf>
    <xf numFmtId="165" fontId="261" fillId="0" borderId="0" applyAlignment="1" pivotButton="0" quotePrefix="0" xfId="0">
      <alignment vertical="center"/>
    </xf>
    <xf numFmtId="0" fontId="262" fillId="0" borderId="0" applyAlignment="1" pivotButton="0" quotePrefix="0" xfId="35">
      <alignment vertical="center"/>
    </xf>
    <xf numFmtId="0" fontId="264" fillId="0" borderId="0" applyAlignment="1" pivotButton="0" quotePrefix="0" xfId="0">
      <alignment vertical="center"/>
    </xf>
    <xf numFmtId="191" fontId="83" fillId="0" borderId="0" applyAlignment="1" pivotButton="0" quotePrefix="0" xfId="0">
      <alignment vertical="center"/>
    </xf>
    <xf numFmtId="185" fontId="101" fillId="0" borderId="0" applyAlignment="1" pivotButton="0" quotePrefix="0" xfId="0">
      <alignment horizontal="center" vertical="center" wrapText="1"/>
    </xf>
    <xf numFmtId="0" fontId="100" fillId="0" borderId="4" applyAlignment="1" pivotButton="0" quotePrefix="0" xfId="0">
      <alignment horizontal="distributed" vertical="center" wrapText="1"/>
    </xf>
    <xf numFmtId="0" fontId="124" fillId="0" borderId="66" applyAlignment="1" pivotButton="0" quotePrefix="0" xfId="4">
      <alignment vertical="center" wrapText="1"/>
    </xf>
    <xf numFmtId="0" fontId="124" fillId="0" borderId="0" applyAlignment="1" pivotButton="0" quotePrefix="0" xfId="4">
      <alignment vertical="center" wrapText="1"/>
    </xf>
    <xf numFmtId="0" fontId="40" fillId="4" borderId="47" applyAlignment="1" pivotButton="0" quotePrefix="0" xfId="4">
      <alignment horizontal="center" vertical="center"/>
    </xf>
    <xf numFmtId="0" fontId="100" fillId="0" borderId="89" applyAlignment="1" pivotButton="0" quotePrefix="0" xfId="0">
      <alignment horizontal="distributed" vertical="center" wrapText="1"/>
    </xf>
    <xf numFmtId="0" fontId="138" fillId="0" borderId="4" applyAlignment="1" pivotButton="0" quotePrefix="0" xfId="0">
      <alignment horizontal="center" vertical="center" wrapText="1"/>
    </xf>
    <xf numFmtId="0" fontId="91" fillId="11" borderId="4" applyAlignment="1" pivotButton="0" quotePrefix="0" xfId="4">
      <alignment horizontal="center" vertical="center" wrapText="1"/>
    </xf>
    <xf numFmtId="0" fontId="133" fillId="11" borderId="4" applyAlignment="1" pivotButton="0" quotePrefix="0" xfId="4">
      <alignment horizontal="center" vertical="center" wrapText="1"/>
    </xf>
    <xf numFmtId="0" fontId="138" fillId="0" borderId="4" applyAlignment="1" pivotButton="0" quotePrefix="0" xfId="0">
      <alignment horizontal="distributed" vertical="center" wrapText="1"/>
    </xf>
    <xf numFmtId="0" fontId="97" fillId="6" borderId="278" applyAlignment="1" pivotButton="0" quotePrefix="0" xfId="4">
      <alignment horizontal="center" vertical="center"/>
    </xf>
    <xf numFmtId="0" fontId="85" fillId="11" borderId="4" applyAlignment="1" pivotButton="0" quotePrefix="0" xfId="4">
      <alignment horizontal="center" vertical="center" wrapText="1"/>
    </xf>
    <xf numFmtId="0" fontId="103" fillId="0" borderId="4" applyAlignment="1" pivotButton="0" quotePrefix="0" xfId="0">
      <alignment horizontal="center" vertical="center" wrapText="1"/>
    </xf>
    <xf numFmtId="0" fontId="99" fillId="0" borderId="4" applyAlignment="1" pivotButton="0" quotePrefix="0" xfId="0">
      <alignment horizontal="center" vertical="center" wrapText="1"/>
    </xf>
    <xf numFmtId="0" fontId="181" fillId="0" borderId="278" applyAlignment="1" pivotButton="0" quotePrefix="0" xfId="4">
      <alignment vertical="center"/>
    </xf>
    <xf numFmtId="192" fontId="99" fillId="0" borderId="4" applyAlignment="1" pivotButton="0" quotePrefix="0" xfId="0">
      <alignment horizontal="center" vertical="center" wrapText="1"/>
    </xf>
    <xf numFmtId="2" fontId="99" fillId="0" borderId="4" applyAlignment="1" pivotButton="0" quotePrefix="0" xfId="0">
      <alignment horizontal="center" vertical="center" wrapText="1"/>
    </xf>
    <xf numFmtId="193" fontId="99" fillId="0" borderId="4" applyAlignment="1" pivotButton="0" quotePrefix="0" xfId="0">
      <alignment horizontal="center" vertical="center" wrapText="1"/>
    </xf>
    <xf numFmtId="0" fontId="99" fillId="0" borderId="4" applyAlignment="1" pivotButton="0" quotePrefix="0" xfId="0">
      <alignment horizontal="center" vertical="center"/>
    </xf>
    <xf numFmtId="194" fontId="99" fillId="0" borderId="4" applyAlignment="1" pivotButton="0" quotePrefix="0" xfId="0">
      <alignment horizontal="center" vertical="center" wrapText="1"/>
    </xf>
    <xf numFmtId="0" fontId="125" fillId="12" borderId="30" applyAlignment="1" pivotButton="0" quotePrefix="0" xfId="4">
      <alignment horizontal="center" vertical="center"/>
    </xf>
    <xf numFmtId="2" fontId="99" fillId="0" borderId="52" applyAlignment="1" pivotButton="0" quotePrefix="0" xfId="0">
      <alignment vertical="center" wrapText="1"/>
    </xf>
    <xf numFmtId="0" fontId="267" fillId="0" borderId="89" applyAlignment="1" pivotButton="0" quotePrefix="0" xfId="0">
      <alignment horizontal="distributed" vertical="center" wrapText="1"/>
    </xf>
    <xf numFmtId="0" fontId="100" fillId="0" borderId="91" applyAlignment="1" pivotButton="0" quotePrefix="0" xfId="0">
      <alignment horizontal="distributed" vertical="center" wrapText="1"/>
    </xf>
    <xf numFmtId="0" fontId="100" fillId="0" borderId="3" applyAlignment="1" pivotButton="0" quotePrefix="0" xfId="0">
      <alignment vertical="center" wrapText="1"/>
    </xf>
    <xf numFmtId="2" fontId="99" fillId="0" borderId="10" applyAlignment="1" pivotButton="0" quotePrefix="0" xfId="0">
      <alignment vertical="center" wrapText="1"/>
    </xf>
    <xf numFmtId="0" fontId="133" fillId="0" borderId="21" applyAlignment="1" pivotButton="0" quotePrefix="0" xfId="4">
      <alignment horizontal="left" vertical="center"/>
    </xf>
    <xf numFmtId="169" fontId="40" fillId="4" borderId="47" applyAlignment="1" pivotButton="0" quotePrefix="0" xfId="4">
      <alignment horizontal="center" vertical="center"/>
    </xf>
    <xf numFmtId="2" fontId="40" fillId="4" borderId="47" applyAlignment="1" pivotButton="0" quotePrefix="0" xfId="4">
      <alignment horizontal="center" vertical="center"/>
    </xf>
    <xf numFmtId="0" fontId="42" fillId="11" borderId="91" applyAlignment="1" pivotButton="0" quotePrefix="0" xfId="4">
      <alignment horizontal="center" vertical="center"/>
    </xf>
    <xf numFmtId="0" fontId="42" fillId="4" borderId="91" applyAlignment="1" pivotButton="0" quotePrefix="0" xfId="4">
      <alignment horizontal="center" vertical="center"/>
    </xf>
    <xf numFmtId="0" fontId="98" fillId="0" borderId="22" applyAlignment="1" pivotButton="0" quotePrefix="0" xfId="4">
      <alignment horizontal="left" vertical="center"/>
    </xf>
    <xf numFmtId="0" fontId="40" fillId="11" borderId="4" applyAlignment="1" pivotButton="0" quotePrefix="0" xfId="4">
      <alignment horizontal="center" vertical="center"/>
    </xf>
    <xf numFmtId="0" fontId="40" fillId="4" borderId="4" applyAlignment="1" pivotButton="0" quotePrefix="0" xfId="4">
      <alignment horizontal="center" vertical="center"/>
    </xf>
    <xf numFmtId="0" fontId="270" fillId="4" borderId="4" applyAlignment="1" pivotButton="0" quotePrefix="0" xfId="35">
      <alignment horizontal="center" vertical="center"/>
    </xf>
    <xf numFmtId="0" fontId="40" fillId="4" borderId="4" applyAlignment="1" pivotButton="0" quotePrefix="0" xfId="4">
      <alignment horizontal="center" vertical="center" wrapText="1"/>
    </xf>
    <xf numFmtId="0" fontId="181" fillId="0" borderId="0" applyAlignment="1" pivotButton="0" quotePrefix="0" xfId="4">
      <alignment horizontal="left" vertical="center" wrapText="1"/>
    </xf>
    <xf numFmtId="0" fontId="271" fillId="0" borderId="0" applyAlignment="1" pivotButton="0" quotePrefix="0" xfId="0">
      <alignment horizontal="left" vertical="center"/>
    </xf>
    <xf numFmtId="0" fontId="99" fillId="0" borderId="111" applyAlignment="1" pivotButton="0" quotePrefix="0" xfId="0">
      <alignment vertical="center" wrapText="1"/>
    </xf>
    <xf numFmtId="182" fontId="99" fillId="0" borderId="110" applyAlignment="1" pivotButton="0" quotePrefix="0" xfId="0">
      <alignment vertical="center" wrapText="1"/>
    </xf>
    <xf numFmtId="182" fontId="99" fillId="0" borderId="0" applyAlignment="1" pivotButton="0" quotePrefix="0" xfId="0">
      <alignment vertical="center" wrapText="1"/>
    </xf>
    <xf numFmtId="0" fontId="99" fillId="0" borderId="2" applyAlignment="1" pivotButton="0" quotePrefix="0" xfId="0">
      <alignment vertical="center" wrapText="1"/>
    </xf>
    <xf numFmtId="0" fontId="101" fillId="0" borderId="284" applyAlignment="1" pivotButton="0" quotePrefix="0" xfId="0">
      <alignment horizontal="center" vertical="center" wrapText="1"/>
    </xf>
    <xf numFmtId="0" fontId="101" fillId="0" borderId="285" applyAlignment="1" pivotButton="0" quotePrefix="0" xfId="0">
      <alignment horizontal="center" vertical="center" wrapText="1"/>
    </xf>
    <xf numFmtId="0" fontId="199" fillId="5" borderId="0" applyAlignment="1" pivotButton="0" quotePrefix="0" xfId="4">
      <alignment vertical="center" wrapText="1"/>
    </xf>
    <xf numFmtId="0" fontId="273" fillId="12" borderId="0" applyAlignment="1" pivotButton="0" quotePrefix="0" xfId="4">
      <alignment horizontal="center" vertical="center" wrapText="1"/>
    </xf>
    <xf numFmtId="176" fontId="120" fillId="11" borderId="0" applyAlignment="1" pivotButton="0" quotePrefix="0" xfId="4">
      <alignment horizontal="center" vertical="center"/>
    </xf>
    <xf numFmtId="20" fontId="120" fillId="11" borderId="0" applyAlignment="1" pivotButton="0" quotePrefix="0" xfId="4">
      <alignment horizontal="center" vertical="center"/>
    </xf>
    <xf numFmtId="20" fontId="120" fillId="11" borderId="30" applyAlignment="1" pivotButton="0" quotePrefix="0" xfId="4">
      <alignment horizontal="center" vertical="center"/>
    </xf>
    <xf numFmtId="0" fontId="274" fillId="0" borderId="30" applyAlignment="1" pivotButton="0" quotePrefix="0" xfId="4">
      <alignment horizontal="center" vertical="center"/>
    </xf>
    <xf numFmtId="0" fontId="278" fillId="26" borderId="0" applyAlignment="1" pivotButton="0" quotePrefix="0" xfId="0">
      <alignment horizontal="center" vertical="center"/>
    </xf>
    <xf numFmtId="49" fontId="279" fillId="0" borderId="0" applyAlignment="1" pivotButton="0" quotePrefix="0" xfId="0">
      <alignment horizontal="center" vertical="center"/>
    </xf>
    <xf numFmtId="0" fontId="279" fillId="0" borderId="0" applyAlignment="1" pivotButton="0" quotePrefix="0" xfId="0">
      <alignment horizontal="center" vertical="center"/>
    </xf>
    <xf numFmtId="0" fontId="279" fillId="27" borderId="0" applyAlignment="1" pivotButton="0" quotePrefix="0" xfId="0">
      <alignment horizontal="center" vertical="center"/>
    </xf>
    <xf numFmtId="3" fontId="279" fillId="0" borderId="0" applyAlignment="1" pivotButton="0" quotePrefix="0" xfId="0">
      <alignment horizontal="right" vertical="center"/>
    </xf>
    <xf numFmtId="0" fontId="281" fillId="0" borderId="0" applyAlignment="1" pivotButton="0" quotePrefix="0" xfId="36">
      <alignment vertical="center"/>
    </xf>
    <xf numFmtId="0" fontId="282" fillId="0" borderId="0" applyAlignment="1" pivotButton="0" quotePrefix="0" xfId="0">
      <alignment horizontal="center" vertical="center"/>
    </xf>
    <xf numFmtId="3" fontId="282" fillId="0" borderId="0" applyAlignment="1" pivotButton="0" quotePrefix="0" xfId="0">
      <alignment horizontal="right" vertical="center"/>
    </xf>
    <xf numFmtId="0" fontId="283" fillId="0" borderId="0" applyAlignment="1" pivotButton="0" quotePrefix="0" xfId="0">
      <alignment horizontal="center" vertical="center"/>
    </xf>
    <xf numFmtId="0" fontId="279" fillId="28" borderId="0" applyAlignment="1" pivotButton="0" quotePrefix="0" xfId="0">
      <alignment horizontal="center" vertical="center"/>
    </xf>
    <xf numFmtId="0" fontId="280" fillId="27" borderId="0" pivotButton="0" quotePrefix="0" xfId="0"/>
    <xf numFmtId="0" fontId="280" fillId="0" borderId="0" applyAlignment="1" pivotButton="0" quotePrefix="0" xfId="0">
      <alignment horizontal="center"/>
    </xf>
    <xf numFmtId="0" fontId="280" fillId="27" borderId="0" applyAlignment="1" pivotButton="0" quotePrefix="0" xfId="0">
      <alignment horizontal="center"/>
    </xf>
    <xf numFmtId="3" fontId="280" fillId="0" borderId="0" applyAlignment="1" pivotButton="0" quotePrefix="0" xfId="0">
      <alignment horizontal="right"/>
    </xf>
    <xf numFmtId="0" fontId="280" fillId="27" borderId="0" applyAlignment="1" pivotButton="0" quotePrefix="0" xfId="0">
      <alignment horizontal="right"/>
    </xf>
    <xf numFmtId="3" fontId="282" fillId="28" borderId="0" applyAlignment="1" pivotButton="0" quotePrefix="0" xfId="0">
      <alignment horizontal="right" vertical="center"/>
    </xf>
    <xf numFmtId="49" fontId="281" fillId="0" borderId="0" applyAlignment="1" pivotButton="0" quotePrefix="0" xfId="36">
      <alignment vertical="center"/>
    </xf>
    <xf numFmtId="0" fontId="281" fillId="0" borderId="0" applyAlignment="1" pivotButton="0" quotePrefix="0" xfId="36">
      <alignment horizontal="right" vertical="center"/>
    </xf>
    <xf numFmtId="0" fontId="286" fillId="0" borderId="0" applyAlignment="1" pivotButton="0" quotePrefix="0" xfId="0">
      <alignment horizontal="center" vertical="center"/>
    </xf>
    <xf numFmtId="0" fontId="287" fillId="4" borderId="0" applyAlignment="1" pivotButton="0" quotePrefix="0" xfId="4">
      <alignment horizontal="center" vertical="center"/>
    </xf>
    <xf numFmtId="49" fontId="40" fillId="4" borderId="47" applyAlignment="1" pivotButton="0" quotePrefix="0" xfId="4">
      <alignment horizontal="center" vertical="center"/>
    </xf>
    <xf numFmtId="0" fontId="288" fillId="12" borderId="0" applyAlignment="1" pivotButton="0" quotePrefix="0" xfId="4">
      <alignment horizontal="center" vertical="center"/>
    </xf>
    <xf numFmtId="49" fontId="288" fillId="12" borderId="0" applyAlignment="1" pivotButton="0" quotePrefix="0" xfId="4">
      <alignment horizontal="center" vertical="center"/>
    </xf>
    <xf numFmtId="185" fontId="40" fillId="0" borderId="21" applyAlignment="1" pivotButton="0" quotePrefix="0" xfId="4">
      <alignment horizontal="center" vertical="center"/>
    </xf>
    <xf numFmtId="195" fontId="100" fillId="0" borderId="89" applyAlignment="1" pivotButton="0" quotePrefix="0" xfId="0">
      <alignment horizontal="center" vertical="center" wrapText="1"/>
    </xf>
    <xf numFmtId="196" fontId="48" fillId="0" borderId="0" applyAlignment="1" pivotButton="0" quotePrefix="0" xfId="4">
      <alignment vertical="center"/>
    </xf>
    <xf numFmtId="21" fontId="40" fillId="4" borderId="21" applyAlignment="1" pivotButton="0" quotePrefix="0" xfId="4">
      <alignment horizontal="center" vertical="center"/>
    </xf>
    <xf numFmtId="169" fontId="99" fillId="0" borderId="4" applyAlignment="1" pivotButton="0" quotePrefix="0" xfId="0">
      <alignment horizontal="center" vertical="center"/>
    </xf>
    <xf numFmtId="169" fontId="40" fillId="0" borderId="21" applyAlignment="1" pivotButton="0" quotePrefix="0" xfId="4">
      <alignment horizontal="center" vertical="center"/>
    </xf>
    <xf numFmtId="169" fontId="292" fillId="0" borderId="0" applyAlignment="1" pivotButton="0" quotePrefix="0" xfId="4">
      <alignment vertical="center"/>
    </xf>
    <xf numFmtId="197" fontId="0" fillId="0" borderId="0" applyAlignment="1" pivotButton="0" quotePrefix="0" xfId="0">
      <alignment vertical="center"/>
    </xf>
    <xf numFmtId="0" fontId="82" fillId="3" borderId="23" applyAlignment="1" pivotButton="0" quotePrefix="0" xfId="0">
      <alignment horizontal="center" vertical="center"/>
    </xf>
    <xf numFmtId="197" fontId="78" fillId="3" borderId="32" applyAlignment="1" pivotButton="0" quotePrefix="0" xfId="0">
      <alignment horizontal="center" vertical="center"/>
    </xf>
    <xf numFmtId="189" fontId="78" fillId="3" borderId="32" applyAlignment="1" pivotButton="0" quotePrefix="0" xfId="0">
      <alignment horizontal="center" vertical="center"/>
    </xf>
    <xf numFmtId="0" fontId="78" fillId="3" borderId="33" applyAlignment="1" pivotButton="0" quotePrefix="0" xfId="0">
      <alignment horizontal="center" vertical="center"/>
    </xf>
    <xf numFmtId="0" fontId="78" fillId="3" borderId="26" applyAlignment="1" pivotButton="0" quotePrefix="0" xfId="0">
      <alignment horizontal="center" vertical="center"/>
    </xf>
    <xf numFmtId="197" fontId="78" fillId="0" borderId="34" applyAlignment="1" pivotButton="0" quotePrefix="0" xfId="0">
      <alignment horizontal="center" vertical="center"/>
    </xf>
    <xf numFmtId="189" fontId="78" fillId="0" borderId="34" applyAlignment="1" pivotButton="0" quotePrefix="0" xfId="0">
      <alignment horizontal="center" vertical="center"/>
    </xf>
    <xf numFmtId="197" fontId="78" fillId="3" borderId="34" applyAlignment="1" pivotButton="0" quotePrefix="0" xfId="0">
      <alignment horizontal="center" vertical="center"/>
    </xf>
    <xf numFmtId="0" fontId="78" fillId="3" borderId="35" applyAlignment="1" pivotButton="0" quotePrefix="0" xfId="0">
      <alignment horizontal="center" vertical="center"/>
    </xf>
    <xf numFmtId="0" fontId="83" fillId="3" borderId="35" applyAlignment="1" pivotButton="0" quotePrefix="0" xfId="0">
      <alignment horizontal="center" vertical="center" wrapText="1"/>
    </xf>
    <xf numFmtId="0" fontId="295" fillId="13" borderId="23" applyAlignment="1" pivotButton="0" quotePrefix="0" xfId="0">
      <alignment horizontal="center" vertical="center"/>
    </xf>
    <xf numFmtId="197" fontId="81" fillId="0" borderId="32" applyAlignment="1" pivotButton="0" quotePrefix="0" xfId="0">
      <alignment horizontal="center" vertical="center"/>
    </xf>
    <xf numFmtId="189" fontId="81" fillId="13" borderId="32" applyAlignment="1" pivotButton="0" quotePrefix="0" xfId="0">
      <alignment horizontal="center" vertical="center"/>
    </xf>
    <xf numFmtId="197" fontId="81" fillId="13" borderId="32" applyAlignment="1" pivotButton="0" quotePrefix="0" xfId="0">
      <alignment horizontal="center" vertical="center"/>
    </xf>
    <xf numFmtId="0" fontId="81" fillId="13" borderId="33" applyAlignment="1" pivotButton="0" quotePrefix="0" xfId="0">
      <alignment horizontal="center" vertical="center"/>
    </xf>
    <xf numFmtId="0" fontId="295" fillId="13" borderId="289" applyAlignment="1" pivotButton="0" quotePrefix="0" xfId="0">
      <alignment horizontal="center" vertical="center"/>
    </xf>
    <xf numFmtId="197" fontId="81" fillId="0" borderId="290" applyAlignment="1" pivotButton="0" quotePrefix="0" xfId="0">
      <alignment horizontal="center" vertical="center"/>
    </xf>
    <xf numFmtId="189" fontId="81" fillId="13" borderId="290" applyAlignment="1" pivotButton="0" quotePrefix="0" xfId="0">
      <alignment horizontal="center" vertical="center"/>
    </xf>
    <xf numFmtId="0" fontId="81" fillId="13" borderId="291" applyAlignment="1" pivotButton="0" quotePrefix="0" xfId="0">
      <alignment horizontal="center" vertical="center"/>
    </xf>
    <xf numFmtId="0" fontId="81" fillId="4" borderId="23" applyAlignment="1" pivotButton="0" quotePrefix="0" xfId="0">
      <alignment horizontal="center" vertical="center"/>
    </xf>
    <xf numFmtId="198" fontId="81" fillId="0" borderId="32" applyAlignment="1" pivotButton="0" quotePrefix="0" xfId="0">
      <alignment horizontal="center" vertical="center"/>
    </xf>
    <xf numFmtId="189" fontId="81" fillId="4" borderId="32" applyAlignment="1" pivotButton="0" quotePrefix="0" xfId="0">
      <alignment horizontal="center" vertical="center"/>
    </xf>
    <xf numFmtId="197" fontId="81" fillId="4" borderId="32" applyAlignment="1" pivotButton="0" quotePrefix="0" xfId="0">
      <alignment horizontal="center" vertical="center"/>
    </xf>
    <xf numFmtId="0" fontId="81" fillId="4" borderId="33" applyAlignment="1" pivotButton="0" quotePrefix="0" xfId="0">
      <alignment horizontal="center" vertical="center"/>
    </xf>
    <xf numFmtId="0" fontId="81" fillId="4" borderId="292" applyAlignment="1" pivotButton="0" quotePrefix="0" xfId="0">
      <alignment horizontal="center" vertical="center"/>
    </xf>
    <xf numFmtId="197" fontId="81" fillId="0" borderId="293" applyAlignment="1" pivotButton="0" quotePrefix="0" xfId="0">
      <alignment horizontal="center" vertical="center"/>
    </xf>
    <xf numFmtId="189" fontId="81" fillId="5" borderId="293" applyAlignment="1" pivotButton="0" quotePrefix="0" xfId="0">
      <alignment horizontal="center" vertical="center"/>
    </xf>
    <xf numFmtId="197" fontId="81" fillId="4" borderId="293" applyAlignment="1" pivotButton="0" quotePrefix="0" xfId="0">
      <alignment horizontal="center" vertical="center"/>
    </xf>
    <xf numFmtId="0" fontId="81" fillId="4" borderId="294" applyAlignment="1" pivotButton="0" quotePrefix="0" xfId="0">
      <alignment horizontal="center" vertical="center"/>
    </xf>
    <xf numFmtId="0" fontId="81" fillId="29" borderId="142" applyAlignment="1" pivotButton="0" quotePrefix="0" xfId="0">
      <alignment horizontal="center" vertical="center"/>
    </xf>
    <xf numFmtId="0" fontId="81" fillId="29" borderId="292" applyAlignment="1" pivotButton="0" quotePrefix="0" xfId="0">
      <alignment horizontal="center" vertical="center"/>
    </xf>
    <xf numFmtId="189" fontId="81" fillId="29" borderId="293" applyAlignment="1" pivotButton="0" quotePrefix="0" xfId="0">
      <alignment horizontal="center" vertical="center"/>
    </xf>
    <xf numFmtId="197" fontId="81" fillId="29" borderId="293" applyAlignment="1" pivotButton="0" quotePrefix="0" xfId="0">
      <alignment horizontal="center" vertical="center"/>
    </xf>
    <xf numFmtId="0" fontId="81" fillId="29" borderId="294" applyAlignment="1" pivotButton="0" quotePrefix="0" xfId="0">
      <alignment horizontal="center" vertical="center"/>
    </xf>
    <xf numFmtId="0" fontId="81" fillId="29" borderId="289" applyAlignment="1" pivotButton="0" quotePrefix="0" xfId="0">
      <alignment horizontal="center" vertical="center"/>
    </xf>
    <xf numFmtId="189" fontId="81" fillId="29" borderId="290" applyAlignment="1" pivotButton="0" quotePrefix="0" xfId="0">
      <alignment horizontal="center" vertical="center"/>
    </xf>
    <xf numFmtId="197" fontId="81" fillId="29" borderId="290" applyAlignment="1" pivotButton="0" quotePrefix="0" xfId="0">
      <alignment horizontal="center" vertical="center"/>
    </xf>
    <xf numFmtId="0" fontId="81" fillId="29" borderId="291" applyAlignment="1" pivotButton="0" quotePrefix="0" xfId="0">
      <alignment horizontal="center" vertical="center"/>
    </xf>
    <xf numFmtId="0" fontId="81" fillId="20" borderId="295" applyAlignment="1" pivotButton="0" quotePrefix="0" xfId="0">
      <alignment horizontal="center" vertical="center"/>
    </xf>
    <xf numFmtId="197" fontId="81" fillId="0" borderId="296" applyAlignment="1" pivotButton="0" quotePrefix="0" xfId="0">
      <alignment horizontal="center" vertical="center"/>
    </xf>
    <xf numFmtId="189" fontId="81" fillId="20" borderId="296" applyAlignment="1" pivotButton="0" quotePrefix="0" xfId="0">
      <alignment horizontal="center" vertical="center"/>
    </xf>
    <xf numFmtId="197" fontId="81" fillId="20" borderId="296" applyAlignment="1" pivotButton="0" quotePrefix="0" xfId="0">
      <alignment horizontal="center" vertical="center"/>
    </xf>
    <xf numFmtId="0" fontId="81" fillId="20" borderId="297" applyAlignment="1" pivotButton="0" quotePrefix="0" xfId="0">
      <alignment horizontal="center" vertical="center"/>
    </xf>
    <xf numFmtId="199" fontId="85" fillId="4" borderId="4" applyAlignment="1" pivotButton="0" quotePrefix="0" xfId="4">
      <alignment horizontal="center" vertical="center" wrapText="1"/>
    </xf>
    <xf numFmtId="197" fontId="81" fillId="0" borderId="89" applyAlignment="1" pivotButton="0" quotePrefix="0" xfId="0">
      <alignment horizontal="center" vertical="center"/>
    </xf>
    <xf numFmtId="0" fontId="81" fillId="4" borderId="26" applyAlignment="1" pivotButton="0" quotePrefix="0" xfId="0">
      <alignment horizontal="center" vertical="center"/>
    </xf>
    <xf numFmtId="197" fontId="81" fillId="0" borderId="34" applyAlignment="1" pivotButton="0" quotePrefix="0" xfId="0">
      <alignment horizontal="center" vertical="center"/>
    </xf>
    <xf numFmtId="189" fontId="81" fillId="5" borderId="34" applyAlignment="1" pivotButton="0" quotePrefix="0" xfId="0">
      <alignment horizontal="center" vertical="center"/>
    </xf>
    <xf numFmtId="197" fontId="81" fillId="4" borderId="34" applyAlignment="1" pivotButton="0" quotePrefix="0" xfId="0">
      <alignment horizontal="center" vertical="center"/>
    </xf>
    <xf numFmtId="0" fontId="81" fillId="4" borderId="35" applyAlignment="1" pivotButton="0" quotePrefix="0" xfId="0">
      <alignment horizontal="center" vertical="center"/>
    </xf>
    <xf numFmtId="0" fontId="81" fillId="4" borderId="298" applyAlignment="1" pivotButton="0" quotePrefix="0" xfId="0">
      <alignment horizontal="center" vertical="center"/>
    </xf>
    <xf numFmtId="0" fontId="81" fillId="4" borderId="40" applyAlignment="1" pivotButton="0" quotePrefix="0" xfId="0">
      <alignment horizontal="center" vertical="center"/>
    </xf>
    <xf numFmtId="0" fontId="81" fillId="4" borderId="4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197" fontId="81" fillId="0" borderId="98" applyAlignment="1" pivotButton="0" quotePrefix="0" xfId="0">
      <alignment horizontal="center" vertical="center"/>
    </xf>
    <xf numFmtId="189" fontId="81" fillId="5" borderId="98" applyAlignment="1" pivotButton="0" quotePrefix="0" xfId="0">
      <alignment horizontal="center" vertical="center"/>
    </xf>
    <xf numFmtId="197" fontId="81" fillId="4" borderId="98" applyAlignment="1" pivotButton="0" quotePrefix="0" xfId="0">
      <alignment horizontal="center" vertical="center"/>
    </xf>
    <xf numFmtId="0" fontId="81" fillId="4" borderId="98" applyAlignment="1" pivotButton="0" quotePrefix="0" xfId="0">
      <alignment horizontal="center" vertical="center"/>
    </xf>
    <xf numFmtId="0" fontId="81" fillId="4" borderId="300" applyAlignment="1" pivotButton="0" quotePrefix="0" xfId="0">
      <alignment horizontal="center" vertical="center"/>
    </xf>
    <xf numFmtId="0" fontId="81" fillId="29" borderId="140" applyAlignment="1" pivotButton="0" quotePrefix="0" xfId="0">
      <alignment horizontal="center" vertical="center"/>
    </xf>
    <xf numFmtId="189" fontId="81" fillId="29" borderId="89" applyAlignment="1" pivotButton="0" quotePrefix="0" xfId="0">
      <alignment horizontal="center" vertical="center"/>
    </xf>
    <xf numFmtId="197" fontId="81" fillId="29" borderId="89" applyAlignment="1" pivotButton="0" quotePrefix="0" xfId="0">
      <alignment horizontal="center" vertical="center"/>
    </xf>
    <xf numFmtId="0" fontId="81" fillId="29" borderId="23" applyAlignment="1" pivotButton="0" quotePrefix="0" xfId="0">
      <alignment horizontal="center" vertical="center"/>
    </xf>
    <xf numFmtId="189" fontId="81" fillId="29" borderId="32" applyAlignment="1" pivotButton="0" quotePrefix="0" xfId="0">
      <alignment horizontal="center" vertical="center"/>
    </xf>
    <xf numFmtId="197" fontId="81" fillId="29" borderId="32" applyAlignment="1" pivotButton="0" quotePrefix="0" xfId="0">
      <alignment horizontal="center" vertical="center"/>
    </xf>
    <xf numFmtId="0" fontId="81" fillId="29" borderId="33" applyAlignment="1" pivotButton="0" quotePrefix="0" xfId="0">
      <alignment horizontal="center" vertical="center"/>
    </xf>
    <xf numFmtId="0" fontId="81" fillId="29" borderId="26" applyAlignment="1" pivotButton="0" quotePrefix="0" xfId="0">
      <alignment horizontal="center" vertical="center"/>
    </xf>
    <xf numFmtId="189" fontId="81" fillId="29" borderId="34" applyAlignment="1" pivotButton="0" quotePrefix="0" xfId="0">
      <alignment horizontal="center" vertical="center"/>
    </xf>
    <xf numFmtId="197" fontId="81" fillId="29" borderId="34" applyAlignment="1" pivotButton="0" quotePrefix="0" xfId="0">
      <alignment horizontal="center" vertical="center"/>
    </xf>
    <xf numFmtId="0" fontId="81" fillId="29" borderId="35" applyAlignment="1" pivotButton="0" quotePrefix="0" xfId="0">
      <alignment horizontal="center" vertical="center"/>
    </xf>
    <xf numFmtId="0" fontId="81" fillId="29" borderId="145" applyAlignment="1" pivotButton="0" quotePrefix="0" xfId="0">
      <alignment horizontal="center" vertical="center"/>
    </xf>
    <xf numFmtId="0" fontId="81" fillId="29" borderId="85" applyAlignment="1" pivotButton="0" quotePrefix="0" xfId="0">
      <alignment horizontal="center" vertical="center"/>
    </xf>
    <xf numFmtId="0" fontId="81" fillId="29" borderId="272" applyAlignment="1" pivotButton="0" quotePrefix="0" xfId="0">
      <alignment horizontal="center" vertical="center"/>
    </xf>
    <xf numFmtId="49" fontId="279" fillId="0" borderId="0" applyAlignment="1" pivotButton="0" quotePrefix="0" xfId="0">
      <alignment vertical="center"/>
    </xf>
    <xf numFmtId="0" fontId="282" fillId="30" borderId="0" applyAlignment="1" pivotButton="0" quotePrefix="0" xfId="0">
      <alignment horizontal="center" vertical="center"/>
    </xf>
    <xf numFmtId="0" fontId="282" fillId="30" borderId="0" applyAlignment="1" pivotButton="0" quotePrefix="0" xfId="0">
      <alignment vertical="center"/>
    </xf>
    <xf numFmtId="0" fontId="279" fillId="30" borderId="0" applyAlignment="1" pivotButton="0" quotePrefix="0" xfId="0">
      <alignment horizontal="center" vertical="center"/>
    </xf>
    <xf numFmtId="0" fontId="282" fillId="30" borderId="0" applyAlignment="1" pivotButton="0" quotePrefix="0" xfId="0">
      <alignment horizontal="right" vertical="center"/>
    </xf>
    <xf numFmtId="0" fontId="280" fillId="30" borderId="0" applyAlignment="1" pivotButton="0" quotePrefix="0" xfId="0">
      <alignment vertical="center"/>
    </xf>
    <xf numFmtId="0" fontId="286" fillId="30" borderId="0" applyAlignment="1" pivotButton="0" quotePrefix="0" xfId="0">
      <alignment horizontal="center" vertical="center"/>
    </xf>
    <xf numFmtId="0" fontId="280" fillId="0" borderId="0" applyAlignment="1" pivotButton="0" quotePrefix="0" xfId="0">
      <alignment horizontal="center" vertical="center"/>
    </xf>
    <xf numFmtId="0" fontId="285" fillId="0" borderId="0" applyAlignment="1" pivotButton="0" quotePrefix="0" xfId="0">
      <alignment horizontal="center" vertical="center"/>
    </xf>
    <xf numFmtId="3" fontId="280" fillId="28" borderId="0" applyAlignment="1" pivotButton="0" quotePrefix="0" xfId="0">
      <alignment horizontal="right"/>
    </xf>
    <xf numFmtId="0" fontId="296" fillId="0" borderId="0" applyAlignment="1" pivotButton="0" quotePrefix="0" xfId="0">
      <alignment horizontal="center" vertical="center"/>
    </xf>
    <xf numFmtId="3" fontId="282" fillId="30" borderId="0" applyAlignment="1" pivotButton="0" quotePrefix="0" xfId="0">
      <alignment horizontal="right" vertical="center"/>
    </xf>
    <xf numFmtId="49" fontId="282" fillId="0" borderId="0" applyAlignment="1" pivotButton="0" quotePrefix="0" xfId="0">
      <alignment vertical="center"/>
    </xf>
    <xf numFmtId="49" fontId="282" fillId="30" borderId="0" applyAlignment="1" pivotButton="0" quotePrefix="0" xfId="0">
      <alignment vertical="center"/>
    </xf>
    <xf numFmtId="0" fontId="299" fillId="12" borderId="0" applyAlignment="1" pivotButton="0" quotePrefix="0" xfId="4">
      <alignment horizontal="center" vertical="center" wrapText="1"/>
    </xf>
    <xf numFmtId="173" fontId="40" fillId="4" borderId="22" applyAlignment="1" pivotButton="0" quotePrefix="0" xfId="4">
      <alignment horizontal="center" vertical="center"/>
    </xf>
    <xf numFmtId="0" fontId="0" fillId="0" borderId="0" applyAlignment="1" pivotButton="0" quotePrefix="0" xfId="0">
      <alignment horizontal="right" vertical="center"/>
    </xf>
    <xf numFmtId="49" fontId="277" fillId="0" borderId="0" applyAlignment="1" pivotButton="0" quotePrefix="0" xfId="0">
      <alignment horizontal="center" vertical="center"/>
    </xf>
    <xf numFmtId="0" fontId="277" fillId="0" borderId="0" applyAlignment="1" pivotButton="0" quotePrefix="0" xfId="0">
      <alignment horizontal="center" vertical="center"/>
    </xf>
    <xf numFmtId="0" fontId="278" fillId="0" borderId="0" applyAlignment="1" pivotButton="0" quotePrefix="0" xfId="0">
      <alignment horizontal="center" vertical="center"/>
    </xf>
    <xf numFmtId="3" fontId="278" fillId="0" borderId="0" applyAlignment="1" pivotButton="0" quotePrefix="0" xfId="0">
      <alignment horizontal="center" vertical="center"/>
    </xf>
    <xf numFmtId="3" fontId="279" fillId="0" borderId="0" applyAlignment="1" pivotButton="0" quotePrefix="0" xfId="0">
      <alignment horizontal="center" vertical="center"/>
    </xf>
    <xf numFmtId="0" fontId="279" fillId="26" borderId="0" applyAlignment="1" pivotButton="0" quotePrefix="0" xfId="0">
      <alignment horizontal="center" vertical="center"/>
    </xf>
    <xf numFmtId="0" fontId="279" fillId="0" borderId="0" applyAlignment="1" pivotButton="0" quotePrefix="0" xfId="0">
      <alignment vertical="center"/>
    </xf>
    <xf numFmtId="0" fontId="279" fillId="0" borderId="0" applyAlignment="1" pivotButton="0" quotePrefix="0" xfId="0">
      <alignment horizontal="right" vertical="center"/>
    </xf>
    <xf numFmtId="0" fontId="280" fillId="0" borderId="0" applyAlignment="1" pivotButton="0" quotePrefix="0" xfId="0">
      <alignment vertical="center"/>
    </xf>
    <xf numFmtId="0" fontId="282" fillId="0" borderId="0" applyAlignment="1" pivotButton="0" quotePrefix="0" xfId="0">
      <alignment vertical="center"/>
    </xf>
    <xf numFmtId="0" fontId="282" fillId="0" borderId="0" applyAlignment="1" pivotButton="0" quotePrefix="0" xfId="0">
      <alignment horizontal="right" vertical="center"/>
    </xf>
    <xf numFmtId="49" fontId="279" fillId="31" borderId="0" applyAlignment="1" pivotButton="0" quotePrefix="0" xfId="0">
      <alignment vertical="center"/>
    </xf>
    <xf numFmtId="0" fontId="282" fillId="31" borderId="0" applyAlignment="1" pivotButton="0" quotePrefix="0" xfId="0">
      <alignment horizontal="center" vertical="center"/>
    </xf>
    <xf numFmtId="0" fontId="282" fillId="31" borderId="0" applyAlignment="1" pivotButton="0" quotePrefix="0" xfId="0">
      <alignment vertical="center"/>
    </xf>
    <xf numFmtId="0" fontId="279" fillId="31" borderId="0" applyAlignment="1" pivotButton="0" quotePrefix="0" xfId="0">
      <alignment horizontal="center" vertical="center"/>
    </xf>
    <xf numFmtId="0" fontId="282" fillId="31" borderId="0" applyAlignment="1" pivotButton="0" quotePrefix="0" xfId="0">
      <alignment horizontal="right" vertical="center"/>
    </xf>
    <xf numFmtId="0" fontId="280" fillId="31" borderId="0" applyAlignment="1" pivotButton="0" quotePrefix="0" xfId="0">
      <alignment vertical="center"/>
    </xf>
    <xf numFmtId="0" fontId="283" fillId="31" borderId="0" applyAlignment="1" pivotButton="0" quotePrefix="0" xfId="0">
      <alignment horizontal="center" vertical="center"/>
    </xf>
    <xf numFmtId="0" fontId="286" fillId="31" borderId="0" applyAlignment="1" pivotButton="0" quotePrefix="0" xfId="0">
      <alignment horizontal="center" vertical="center"/>
    </xf>
    <xf numFmtId="3" fontId="280" fillId="0" borderId="0" applyAlignment="1" pivotButton="0" quotePrefix="0" xfId="0">
      <alignment horizontal="right" vertical="center"/>
    </xf>
    <xf numFmtId="0" fontId="280" fillId="0" borderId="0" applyAlignment="1" pivotButton="0" quotePrefix="0" xfId="0">
      <alignment horizontal="right" vertical="center"/>
    </xf>
    <xf numFmtId="0" fontId="284" fillId="0" borderId="0" applyAlignment="1" pivotButton="0" quotePrefix="0" xfId="0">
      <alignment vertical="center"/>
    </xf>
    <xf numFmtId="0" fontId="285" fillId="0" borderId="0" applyAlignment="1" pivotButton="0" quotePrefix="0" xfId="0">
      <alignment vertical="center"/>
    </xf>
    <xf numFmtId="0" fontId="237" fillId="0" borderId="0" applyAlignment="1" pivotButton="0" quotePrefix="0" xfId="0">
      <alignment horizontal="center" vertical="center"/>
    </xf>
    <xf numFmtId="0" fontId="291" fillId="0" borderId="0" applyAlignment="1" pivotButton="0" quotePrefix="0" xfId="0">
      <alignment vertical="center"/>
    </xf>
    <xf numFmtId="0" fontId="297" fillId="0" borderId="0" applyAlignment="1" pivotButton="0" quotePrefix="0" xfId="0">
      <alignment horizontal="center" vertical="center"/>
    </xf>
    <xf numFmtId="0" fontId="280" fillId="0" borderId="0" pivotButton="0" quotePrefix="0" xfId="0"/>
    <xf numFmtId="0" fontId="280" fillId="0" borderId="0" applyAlignment="1" pivotButton="0" quotePrefix="0" xfId="0">
      <alignment horizontal="right"/>
    </xf>
    <xf numFmtId="0" fontId="285" fillId="0" borderId="0" pivotButton="0" quotePrefix="0" xfId="0"/>
    <xf numFmtId="0" fontId="298" fillId="0" borderId="0" applyAlignment="1" pivotButton="0" quotePrefix="0" xfId="0">
      <alignment horizontal="center" vertical="center"/>
    </xf>
    <xf numFmtId="0" fontId="300" fillId="0" borderId="0" applyAlignment="1" pivotButton="0" quotePrefix="0" xfId="0">
      <alignment vertical="center"/>
    </xf>
    <xf numFmtId="0" fontId="237" fillId="0" borderId="0" applyAlignment="1" pivotButton="0" quotePrefix="0" xfId="0">
      <alignment horizontal="center"/>
    </xf>
    <xf numFmtId="0" fontId="301" fillId="0" borderId="0" applyAlignment="1" pivotButton="0" quotePrefix="0" xfId="0">
      <alignment vertical="center"/>
    </xf>
    <xf numFmtId="3" fontId="280" fillId="27" borderId="0" applyAlignment="1" pivotButton="0" quotePrefix="0" xfId="0">
      <alignment horizontal="right"/>
    </xf>
    <xf numFmtId="0" fontId="285" fillId="27" borderId="0" pivotButton="0" quotePrefix="0" xfId="0"/>
    <xf numFmtId="0" fontId="285" fillId="27" borderId="0" applyAlignment="1" pivotButton="0" quotePrefix="0" xfId="0">
      <alignment horizontal="center"/>
    </xf>
    <xf numFmtId="49" fontId="282" fillId="0" borderId="0" applyAlignment="1" pivotButton="0" quotePrefix="0" xfId="0">
      <alignment horizontal="right" vertical="center"/>
    </xf>
    <xf numFmtId="0" fontId="280" fillId="0" borderId="0" applyAlignment="1" pivotButton="0" quotePrefix="0" xfId="0">
      <alignment horizontal="left" vertical="center"/>
    </xf>
    <xf numFmtId="3" fontId="282" fillId="0" borderId="0" applyAlignment="1" pivotButton="0" quotePrefix="0" xfId="0">
      <alignment horizontal="center" vertical="center"/>
    </xf>
    <xf numFmtId="0" fontId="282" fillId="27" borderId="0" applyAlignment="1" pivotButton="0" quotePrefix="0" xfId="0">
      <alignment horizontal="center"/>
    </xf>
    <xf numFmtId="0" fontId="280" fillId="28" borderId="0" applyAlignment="1" pivotButton="0" quotePrefix="0" xfId="0">
      <alignment horizontal="center"/>
    </xf>
    <xf numFmtId="0" fontId="280" fillId="28" borderId="0" applyAlignment="1" pivotButton="0" quotePrefix="0" xfId="0">
      <alignment horizontal="right"/>
    </xf>
    <xf numFmtId="0" fontId="286" fillId="0" borderId="0" pivotButton="0" quotePrefix="0" xfId="0"/>
    <xf numFmtId="3" fontId="282" fillId="0" borderId="0" applyAlignment="1" pivotButton="0" quotePrefix="0" xfId="0">
      <alignment vertical="center"/>
    </xf>
    <xf numFmtId="0" fontId="40" fillId="4" borderId="47" applyAlignment="1" pivotButton="0" quotePrefix="1" xfId="4">
      <alignment horizontal="center" vertical="center"/>
    </xf>
    <xf numFmtId="182" fontId="166" fillId="4" borderId="4" applyAlignment="1" pivotButton="0" quotePrefix="0" xfId="4">
      <alignment horizontal="center" vertical="center"/>
    </xf>
    <xf numFmtId="0" fontId="135" fillId="0" borderId="132" applyAlignment="1" pivotButton="0" quotePrefix="0" xfId="4">
      <alignment horizontal="center" vertical="center" wrapText="1"/>
    </xf>
    <xf numFmtId="0" fontId="54" fillId="0" borderId="0" applyAlignment="1" pivotButton="0" quotePrefix="0" xfId="4">
      <alignment horizontal="left" vertical="center" wrapText="1"/>
    </xf>
    <xf numFmtId="0" fontId="54" fillId="0" borderId="0" applyAlignment="1" pivotButton="0" quotePrefix="0" xfId="4">
      <alignment horizontal="left" vertical="center"/>
    </xf>
    <xf numFmtId="0" fontId="135" fillId="0" borderId="0" applyAlignment="1" pivotButton="0" quotePrefix="0" xfId="4">
      <alignment horizontal="left" vertical="center" indent="1"/>
    </xf>
    <xf numFmtId="200" fontId="136" fillId="0" borderId="0" applyAlignment="1" pivotButton="0" quotePrefix="0" xfId="2">
      <alignment horizontal="center" vertical="center"/>
    </xf>
    <xf numFmtId="171" fontId="120" fillId="0" borderId="66" applyAlignment="1" pivotButton="0" quotePrefix="0" xfId="2">
      <alignment horizontal="center" vertical="center"/>
    </xf>
    <xf numFmtId="0" fontId="109" fillId="0" borderId="0" applyAlignment="1" pivotButton="0" quotePrefix="0" xfId="4">
      <alignment horizontal="center" vertical="center"/>
    </xf>
    <xf numFmtId="201" fontId="135" fillId="0" borderId="30" applyAlignment="1" pivotButton="0" quotePrefix="0" xfId="4">
      <alignment horizontal="center" vertical="center"/>
    </xf>
    <xf numFmtId="201" fontId="135" fillId="0" borderId="22" applyAlignment="1" pivotButton="0" quotePrefix="0" xfId="4">
      <alignment horizontal="center" vertical="center"/>
    </xf>
    <xf numFmtId="0" fontId="182" fillId="0" borderId="0" applyAlignment="1" pivotButton="0" quotePrefix="0" xfId="4">
      <alignment horizontal="left" vertical="center"/>
    </xf>
    <xf numFmtId="0" fontId="43" fillId="0" borderId="131" applyAlignment="1" pivotButton="0" quotePrefix="0" xfId="4">
      <alignment horizontal="center" vertical="center" wrapText="1"/>
    </xf>
    <xf numFmtId="0" fontId="43" fillId="0" borderId="66" applyAlignment="1" pivotButton="0" quotePrefix="0" xfId="4">
      <alignment horizontal="center" vertical="center" wrapText="1"/>
    </xf>
    <xf numFmtId="179" fontId="123" fillId="0" borderId="0" applyAlignment="1" pivotButton="0" quotePrefix="0" xfId="4">
      <alignment horizontal="center" vertical="center"/>
    </xf>
    <xf numFmtId="0" fontId="218" fillId="0" borderId="5" applyAlignment="1" pivotButton="0" quotePrefix="0" xfId="4">
      <alignment horizontal="center" vertical="center"/>
    </xf>
    <xf numFmtId="0" fontId="232" fillId="0" borderId="91" applyAlignment="1" pivotButton="0" quotePrefix="0" xfId="4">
      <alignment horizontal="center" vertical="center"/>
    </xf>
    <xf numFmtId="0" fontId="232" fillId="0" borderId="89" applyAlignment="1" pivotButton="0" quotePrefix="0" xfId="4">
      <alignment horizontal="center" vertical="center"/>
    </xf>
    <xf numFmtId="0" fontId="284" fillId="0" borderId="0" applyAlignment="1" pivotButton="0" quotePrefix="0" xfId="0">
      <alignment vertical="center"/>
    </xf>
    <xf numFmtId="0" fontId="0" fillId="0" borderId="0" pivotButton="0" quotePrefix="0" xfId="0"/>
    <xf numFmtId="0" fontId="225" fillId="0" borderId="0" applyAlignment="1" pivotButton="0" quotePrefix="0" xfId="0">
      <alignment horizontal="right" vertical="center"/>
    </xf>
    <xf numFmtId="0" fontId="229" fillId="0" borderId="0" applyAlignment="1" pivotButton="0" quotePrefix="0" xfId="0">
      <alignment horizontal="right" vertical="center"/>
    </xf>
    <xf numFmtId="0" fontId="95" fillId="0" borderId="0" applyAlignment="1" pivotButton="0" quotePrefix="0" xfId="0">
      <alignment horizontal="left" vertical="center" indent="2"/>
    </xf>
    <xf numFmtId="0" fontId="101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79" fillId="0" borderId="0" applyAlignment="1" pivotButton="0" quotePrefix="0" xfId="0">
      <alignment horizontal="center" vertical="center"/>
    </xf>
    <xf numFmtId="0" fontId="178" fillId="0" borderId="0" applyAlignment="1" pivotButton="0" quotePrefix="0" xfId="0">
      <alignment horizontal="center" vertical="center"/>
    </xf>
    <xf numFmtId="168" fontId="95" fillId="0" borderId="0" applyAlignment="1" pivotButton="0" quotePrefix="0" xfId="0">
      <alignment horizontal="left" vertical="center"/>
    </xf>
    <xf numFmtId="0" fontId="95" fillId="0" borderId="64" applyAlignment="1" pivotButton="0" quotePrefix="0" xfId="0">
      <alignment horizontal="center" vertical="center" wrapText="1"/>
    </xf>
    <xf numFmtId="0" fontId="95" fillId="0" borderId="112" applyAlignment="1" pivotButton="0" quotePrefix="0" xfId="0">
      <alignment horizontal="center" vertical="center" wrapText="1"/>
    </xf>
    <xf numFmtId="0" fontId="95" fillId="0" borderId="0" applyAlignment="1" pivotButton="0" quotePrefix="0" xfId="0">
      <alignment horizontal="center" vertical="center" wrapText="1"/>
    </xf>
    <xf numFmtId="168" fontId="93" fillId="0" borderId="0" applyAlignment="1" pivotButton="0" quotePrefix="0" xfId="0">
      <alignment horizontal="left" vertical="center"/>
    </xf>
    <xf numFmtId="0" fontId="93" fillId="0" borderId="44" applyAlignment="1" pivotButton="0" quotePrefix="0" xfId="0">
      <alignment horizontal="left" vertical="center"/>
    </xf>
    <xf numFmtId="0" fontId="93" fillId="0" borderId="0" applyAlignment="1" pivotButton="0" quotePrefix="0" xfId="0">
      <alignment horizontal="left" vertical="center" shrinkToFit="1"/>
    </xf>
    <xf numFmtId="0" fontId="93" fillId="0" borderId="44" applyAlignment="1" pivotButton="0" quotePrefix="0" xfId="0">
      <alignment horizontal="left" vertical="center" shrinkToFit="1"/>
    </xf>
    <xf numFmtId="0" fontId="93" fillId="0" borderId="0" applyAlignment="1" pivotButton="0" quotePrefix="0" xfId="0">
      <alignment horizontal="left" vertical="center"/>
    </xf>
    <xf numFmtId="0" fontId="95" fillId="0" borderId="113" applyAlignment="1" pivotButton="0" quotePrefix="0" xfId="0">
      <alignment horizontal="center" vertical="center" wrapText="1"/>
    </xf>
    <xf numFmtId="0" fontId="95" fillId="0" borderId="114" applyAlignment="1" pivotButton="0" quotePrefix="0" xfId="0">
      <alignment horizontal="center" vertical="center" wrapText="1"/>
    </xf>
    <xf numFmtId="0" fontId="95" fillId="0" borderId="115" applyAlignment="1" pivotButton="0" quotePrefix="0" xfId="0">
      <alignment horizontal="center" vertical="center" wrapText="1"/>
    </xf>
    <xf numFmtId="0" fontId="95" fillId="0" borderId="116" applyAlignment="1" pivotButton="0" quotePrefix="0" xfId="0">
      <alignment horizontal="center" vertical="center" wrapText="1"/>
    </xf>
    <xf numFmtId="0" fontId="95" fillId="0" borderId="117" applyAlignment="1" pivotButton="0" quotePrefix="0" xfId="0">
      <alignment horizontal="center" vertical="center" wrapText="1"/>
    </xf>
    <xf numFmtId="0" fontId="95" fillId="0" borderId="118" applyAlignment="1" pivotButton="0" quotePrefix="0" xfId="0">
      <alignment horizontal="center" vertical="center" wrapText="1"/>
    </xf>
    <xf numFmtId="0" fontId="95" fillId="0" borderId="119" applyAlignment="1" pivotButton="0" quotePrefix="0" xfId="0">
      <alignment horizontal="center" vertical="center" wrapText="1"/>
    </xf>
    <xf numFmtId="0" fontId="95" fillId="0" borderId="120" applyAlignment="1" pivotButton="0" quotePrefix="0" xfId="0">
      <alignment horizontal="center" vertical="center" wrapText="1"/>
    </xf>
    <xf numFmtId="0" fontId="96" fillId="0" borderId="63" applyAlignment="1" pivotButton="0" quotePrefix="0" xfId="0">
      <alignment horizontal="center" vertical="center" wrapText="1"/>
    </xf>
    <xf numFmtId="0" fontId="96" fillId="0" borderId="52" applyAlignment="1" pivotButton="0" quotePrefix="0" xfId="0">
      <alignment horizontal="center" vertical="center" wrapText="1"/>
    </xf>
    <xf numFmtId="0" fontId="96" fillId="0" borderId="67" applyAlignment="1" pivotButton="0" quotePrefix="0" xfId="0">
      <alignment horizontal="left" vertical="center" wrapText="1"/>
    </xf>
    <xf numFmtId="0" fontId="58" fillId="0" borderId="0" applyAlignment="1" pivotButton="0" quotePrefix="0" xfId="0">
      <alignment horizontal="center" vertical="center"/>
    </xf>
    <xf numFmtId="0" fontId="137" fillId="0" borderId="0" applyAlignment="1" pivotButton="0" quotePrefix="0" xfId="0">
      <alignment horizontal="center" vertical="center"/>
    </xf>
    <xf numFmtId="0" fontId="95" fillId="0" borderId="121" applyAlignment="1" pivotButton="0" quotePrefix="0" xfId="0">
      <alignment horizontal="center" vertical="center" wrapText="1"/>
    </xf>
    <xf numFmtId="0" fontId="95" fillId="0" borderId="122" applyAlignment="1" pivotButton="0" quotePrefix="0" xfId="0">
      <alignment horizontal="center" vertical="center" wrapText="1"/>
    </xf>
    <xf numFmtId="0" fontId="95" fillId="0" borderId="123" applyAlignment="1" pivotButton="0" quotePrefix="0" xfId="0">
      <alignment horizontal="center" vertical="center" wrapText="1"/>
    </xf>
    <xf numFmtId="0" fontId="95" fillId="0" borderId="124" applyAlignment="1" pivotButton="0" quotePrefix="0" xfId="0">
      <alignment horizontal="center" vertical="center" wrapText="1"/>
    </xf>
    <xf numFmtId="0" fontId="95" fillId="0" borderId="125" applyAlignment="1" pivotButton="0" quotePrefix="0" xfId="0">
      <alignment horizontal="center" vertical="center" wrapText="1"/>
    </xf>
    <xf numFmtId="0" fontId="95" fillId="0" borderId="126" applyAlignment="1" pivotButton="0" quotePrefix="0" xfId="0">
      <alignment horizontal="center" vertical="center" wrapText="1"/>
    </xf>
    <xf numFmtId="0" fontId="95" fillId="0" borderId="127" applyAlignment="1" pivotButton="0" quotePrefix="0" xfId="0">
      <alignment horizontal="center" vertical="center" wrapText="1"/>
    </xf>
    <xf numFmtId="0" fontId="95" fillId="0" borderId="128" applyAlignment="1" pivotButton="0" quotePrefix="0" xfId="0">
      <alignment horizontal="center" vertical="center" wrapText="1"/>
    </xf>
    <xf numFmtId="0" fontId="95" fillId="0" borderId="129" applyAlignment="1" pivotButton="0" quotePrefix="0" xfId="0">
      <alignment horizontal="center" vertical="center" wrapText="1"/>
    </xf>
    <xf numFmtId="0" fontId="95" fillId="0" borderId="105" applyAlignment="1" pivotButton="0" quotePrefix="0" xfId="0">
      <alignment horizontal="center" vertical="center" wrapText="1"/>
    </xf>
    <xf numFmtId="0" fontId="258" fillId="0" borderId="0" applyAlignment="1" pivotButton="0" quotePrefix="0" xfId="0">
      <alignment horizontal="center" vertical="center"/>
    </xf>
    <xf numFmtId="0" fontId="83" fillId="0" borderId="4" applyAlignment="1" pivotButton="0" quotePrefix="0" xfId="0">
      <alignment horizontal="center" vertical="distributed" shrinkToFit="1" justifyLastLine="1"/>
    </xf>
    <xf numFmtId="184" fontId="81" fillId="0" borderId="4" applyAlignment="1" pivotButton="0" quotePrefix="0" xfId="0">
      <alignment horizontal="center" vertical="center"/>
    </xf>
    <xf numFmtId="0" fontId="256" fillId="0" borderId="91" applyAlignment="1" pivotButton="0" quotePrefix="0" xfId="0">
      <alignment horizontal="center" vertical="center" wrapText="1"/>
    </xf>
    <xf numFmtId="0" fontId="256" fillId="0" borderId="89" applyAlignment="1" pivotButton="0" quotePrefix="0" xfId="0">
      <alignment horizontal="center" vertical="center" wrapText="1"/>
    </xf>
    <xf numFmtId="0" fontId="256" fillId="0" borderId="4" applyAlignment="1" pivotButton="0" quotePrefix="0" xfId="0">
      <alignment horizontal="center" vertical="center" wrapText="1"/>
    </xf>
    <xf numFmtId="0" fontId="256" fillId="0" borderId="4" applyAlignment="1" pivotButton="0" quotePrefix="0" xfId="21">
      <alignment horizontal="center" vertical="center" wrapText="1"/>
    </xf>
    <xf numFmtId="0" fontId="256" fillId="0" borderId="4" applyAlignment="1" pivotButton="0" quotePrefix="0" xfId="21">
      <alignment horizontal="center" vertical="center"/>
    </xf>
    <xf numFmtId="0" fontId="82" fillId="0" borderId="4" applyAlignment="1" pivotButton="0" quotePrefix="0" xfId="0">
      <alignment horizontal="center" vertical="center"/>
    </xf>
    <xf numFmtId="0" fontId="83" fillId="0" borderId="0" applyAlignment="1" pivotButton="0" quotePrefix="0" xfId="0">
      <alignment horizontal="left" vertical="center"/>
    </xf>
    <xf numFmtId="0" fontId="255" fillId="0" borderId="4" applyAlignment="1" pivotButton="0" quotePrefix="0" xfId="0">
      <alignment horizontal="center" vertical="center"/>
    </xf>
    <xf numFmtId="169" fontId="82" fillId="0" borderId="4" applyAlignment="1" pivotButton="0" quotePrefix="0" xfId="0">
      <alignment horizontal="center" vertical="center"/>
    </xf>
    <xf numFmtId="202" fontId="82" fillId="0" borderId="4" applyAlignment="1" pivotButton="0" quotePrefix="0" xfId="0">
      <alignment horizontal="center" vertical="center" wrapText="1" shrinkToFit="1"/>
    </xf>
    <xf numFmtId="203" fontId="82" fillId="0" borderId="4" applyAlignment="1" pivotButton="0" quotePrefix="0" xfId="0">
      <alignment horizontal="center" vertical="center" wrapText="1" shrinkToFit="1"/>
    </xf>
    <xf numFmtId="182" fontId="82" fillId="0" borderId="4" applyAlignment="1" pivotButton="0" quotePrefix="0" xfId="0">
      <alignment horizontal="center" vertical="center"/>
    </xf>
    <xf numFmtId="204" fontId="82" fillId="0" borderId="4" applyAlignment="1" pivotButton="0" quotePrefix="0" xfId="0">
      <alignment horizontal="center" vertical="center" wrapText="1" shrinkToFit="1"/>
    </xf>
    <xf numFmtId="0" fontId="81" fillId="0" borderId="89" applyAlignment="1" pivotButton="0" quotePrefix="0" xfId="0">
      <alignment horizontal="center" vertical="center"/>
    </xf>
    <xf numFmtId="0" fontId="81" fillId="0" borderId="7" applyAlignment="1" pivotButton="0" quotePrefix="0" xfId="0">
      <alignment horizontal="center" vertical="center"/>
    </xf>
    <xf numFmtId="0" fontId="81" fillId="0" borderId="6" applyAlignment="1" pivotButton="0" quotePrefix="0" xfId="0">
      <alignment horizontal="center" vertical="center"/>
    </xf>
    <xf numFmtId="0" fontId="81" fillId="0" borderId="91" applyAlignment="1" pivotButton="0" quotePrefix="0" xfId="0">
      <alignment horizontal="center" vertical="center"/>
    </xf>
    <xf numFmtId="0" fontId="81" fillId="0" borderId="98" applyAlignment="1" pivotButton="0" quotePrefix="0" xfId="0">
      <alignment horizontal="center" vertical="center"/>
    </xf>
    <xf numFmtId="0" fontId="81" fillId="0" borderId="2" applyAlignment="1" pivotButton="0" quotePrefix="0" xfId="0">
      <alignment horizontal="center" vertical="center"/>
    </xf>
    <xf numFmtId="0" fontId="81" fillId="0" borderId="0" applyAlignment="1" pivotButton="0" quotePrefix="0" xfId="0">
      <alignment horizontal="center" vertical="center"/>
    </xf>
    <xf numFmtId="0" fontId="81" fillId="0" borderId="5" applyAlignment="1" pivotButton="0" quotePrefix="0" xfId="0">
      <alignment horizontal="center" vertical="center"/>
    </xf>
    <xf numFmtId="182" fontId="81" fillId="0" borderId="4" applyAlignment="1" pivotButton="0" quotePrefix="0" xfId="0">
      <alignment horizontal="center" vertical="center"/>
    </xf>
    <xf numFmtId="169" fontId="81" fillId="0" borderId="4" applyAlignment="1" pivotButton="0" quotePrefix="0" xfId="0">
      <alignment horizontal="center" vertical="center"/>
    </xf>
    <xf numFmtId="2" fontId="81" fillId="0" borderId="4" applyAlignment="1" pivotButton="0" quotePrefix="0" xfId="0">
      <alignment horizontal="center" vertical="center"/>
    </xf>
    <xf numFmtId="0" fontId="83" fillId="0" borderId="4" applyAlignment="1" pivotButton="0" quotePrefix="0" xfId="0">
      <alignment horizontal="center" vertical="center"/>
    </xf>
    <xf numFmtId="0" fontId="81" fillId="0" borderId="10" applyAlignment="1" pivotButton="0" quotePrefix="0" xfId="0">
      <alignment horizontal="center" vertical="center"/>
    </xf>
    <xf numFmtId="0" fontId="81" fillId="0" borderId="8" applyAlignment="1" pivotButton="0" quotePrefix="0" xfId="0">
      <alignment horizontal="center" vertical="center"/>
    </xf>
    <xf numFmtId="0" fontId="81" fillId="0" borderId="4" applyAlignment="1" pivotButton="0" quotePrefix="0" xfId="0">
      <alignment horizontal="center" vertical="center" wrapText="1"/>
    </xf>
    <xf numFmtId="0" fontId="81" fillId="0" borderId="91" applyAlignment="1" pivotButton="0" quotePrefix="0" xfId="0">
      <alignment horizontal="center" vertical="center" wrapText="1"/>
    </xf>
    <xf numFmtId="2" fontId="104" fillId="0" borderId="4" applyAlignment="1" pivotButton="0" quotePrefix="0" xfId="0">
      <alignment horizontal="center" vertical="center"/>
    </xf>
    <xf numFmtId="169" fontId="104" fillId="0" borderId="4" applyAlignment="1" pivotButton="0" quotePrefix="0" xfId="0">
      <alignment horizontal="center" vertical="center"/>
    </xf>
    <xf numFmtId="0" fontId="81" fillId="0" borderId="4" applyAlignment="1" pivotButton="0" quotePrefix="0" xfId="0">
      <alignment horizontal="center" vertical="center"/>
    </xf>
    <xf numFmtId="0" fontId="104" fillId="0" borderId="89" applyAlignment="1" pivotButton="0" quotePrefix="0" xfId="0">
      <alignment horizontal="center" vertical="center"/>
    </xf>
    <xf numFmtId="2" fontId="81" fillId="0" borderId="9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84" fontId="82" fillId="0" borderId="4" applyAlignment="1" pivotButton="0" quotePrefix="0" xfId="0">
      <alignment horizontal="center" vertical="center"/>
    </xf>
    <xf numFmtId="205" fontId="82" fillId="0" borderId="4" applyAlignment="1" pivotButton="0" quotePrefix="0" xfId="0">
      <alignment horizontal="center" vertical="center"/>
    </xf>
    <xf numFmtId="170" fontId="81" fillId="0" borderId="4" applyAlignment="1" pivotButton="0" quotePrefix="0" xfId="0">
      <alignment horizontal="center" vertical="center"/>
    </xf>
    <xf numFmtId="166" fontId="81" fillId="0" borderId="4" applyAlignment="1" pivotButton="0" quotePrefix="0" xfId="0">
      <alignment horizontal="center" vertical="center"/>
    </xf>
    <xf numFmtId="166" fontId="82" fillId="0" borderId="4" applyAlignment="1" pivotButton="0" quotePrefix="0" xfId="0">
      <alignment horizontal="center" vertical="center"/>
    </xf>
    <xf numFmtId="0" fontId="81" fillId="0" borderId="4" applyAlignment="1" pivotButton="0" quotePrefix="0" xfId="0">
      <alignment horizontal="distributed" vertical="center" justifyLastLine="1"/>
    </xf>
    <xf numFmtId="172" fontId="81" fillId="0" borderId="4" applyAlignment="1" pivotButton="0" quotePrefix="0" xfId="0">
      <alignment horizontal="left" vertical="center"/>
    </xf>
    <xf numFmtId="0" fontId="83" fillId="0" borderId="0" applyAlignment="1" pivotButton="0" quotePrefix="0" xfId="0">
      <alignment horizontal="center" vertical="center"/>
    </xf>
    <xf numFmtId="170" fontId="83" fillId="0" borderId="0" applyAlignment="1" pivotButton="0" quotePrefix="0" xfId="0">
      <alignment horizontal="center" vertical="center"/>
    </xf>
    <xf numFmtId="170" fontId="81" fillId="0" borderId="4" applyAlignment="1" pivotButton="0" quotePrefix="0" xfId="0">
      <alignment horizontal="center" vertical="center" shrinkToFit="1"/>
    </xf>
    <xf numFmtId="0" fontId="81" fillId="0" borderId="4" applyAlignment="1" pivotButton="0" quotePrefix="0" xfId="0">
      <alignment horizontal="distributed" vertical="distributed" shrinkToFit="1" justifyLastLine="1"/>
    </xf>
    <xf numFmtId="206" fontId="81" fillId="0" borderId="4" applyAlignment="1" pivotButton="0" quotePrefix="0" xfId="0">
      <alignment horizontal="center" vertical="center"/>
    </xf>
    <xf numFmtId="207" fontId="81" fillId="0" borderId="4" applyAlignment="1" pivotButton="0" quotePrefix="0" xfId="0">
      <alignment horizontal="center" vertical="center"/>
    </xf>
    <xf numFmtId="166" fontId="81" fillId="0" borderId="4" applyAlignment="1" pivotButton="0" quotePrefix="0" xfId="0">
      <alignment horizontal="center" vertical="center" shrinkToFit="1"/>
    </xf>
    <xf numFmtId="0" fontId="81" fillId="0" borderId="4" applyAlignment="1" pivotButton="0" quotePrefix="0" xfId="0">
      <alignment horizontal="center" vertical="center" shrinkToFit="1"/>
    </xf>
    <xf numFmtId="168" fontId="81" fillId="0" borderId="4" applyAlignment="1" pivotButton="0" quotePrefix="0" xfId="0">
      <alignment horizontal="center" vertical="center" shrinkToFit="1"/>
    </xf>
    <xf numFmtId="0" fontId="142" fillId="0" borderId="0" applyAlignment="1" pivotButton="0" quotePrefix="0" xfId="0">
      <alignment horizontal="center" vertical="center"/>
    </xf>
    <xf numFmtId="0" fontId="142" fillId="0" borderId="1" applyAlignment="1" pivotButton="0" quotePrefix="0" xfId="0">
      <alignment horizontal="center" vertical="center"/>
    </xf>
    <xf numFmtId="14" fontId="83" fillId="0" borderId="4" applyAlignment="1" pivotButton="0" quotePrefix="0" xfId="0">
      <alignment horizontal="center" vertical="center" shrinkToFit="1"/>
    </xf>
    <xf numFmtId="0" fontId="83" fillId="0" borderId="4" applyAlignment="1" pivotButton="0" quotePrefix="0" xfId="0">
      <alignment horizontal="center" vertical="center" shrinkToFit="1"/>
    </xf>
    <xf numFmtId="168" fontId="83" fillId="0" borderId="4" applyAlignment="1" pivotButton="0" quotePrefix="0" xfId="0">
      <alignment horizontal="center" vertical="center"/>
    </xf>
    <xf numFmtId="0" fontId="99" fillId="0" borderId="110" applyAlignment="1" pivotButton="0" quotePrefix="0" xfId="0">
      <alignment horizontal="center" vertical="center" wrapText="1"/>
    </xf>
    <xf numFmtId="0" fontId="99" fillId="0" borderId="0" applyAlignment="1" pivotButton="0" quotePrefix="0" xfId="0">
      <alignment horizontal="center" vertical="center" wrapText="1"/>
    </xf>
    <xf numFmtId="0" fontId="99" fillId="0" borderId="111" applyAlignment="1" pivotButton="0" quotePrefix="0" xfId="0">
      <alignment horizontal="center" vertical="center" wrapText="1"/>
    </xf>
    <xf numFmtId="0" fontId="103" fillId="0" borderId="27" applyAlignment="1" pivotButton="0" quotePrefix="0" xfId="0">
      <alignment horizontal="center" vertical="center" wrapText="1"/>
    </xf>
    <xf numFmtId="0" fontId="103" fillId="0" borderId="52" applyAlignment="1" pivotButton="0" quotePrefix="0" xfId="0">
      <alignment horizontal="center" vertical="center" wrapText="1"/>
    </xf>
    <xf numFmtId="0" fontId="100" fillId="0" borderId="3" applyAlignment="1" pivotButton="0" quotePrefix="0" xfId="0">
      <alignment horizontal="left" vertical="center" wrapText="1"/>
    </xf>
    <xf numFmtId="0" fontId="268" fillId="0" borderId="8" applyAlignment="1" pivotButton="0" quotePrefix="0" xfId="0">
      <alignment horizontal="left" vertical="center" wrapText="1"/>
    </xf>
    <xf numFmtId="0" fontId="268" fillId="0" borderId="9" applyAlignment="1" pivotButton="0" quotePrefix="0" xfId="0">
      <alignment horizontal="left" vertical="center" wrapText="1"/>
    </xf>
    <xf numFmtId="0" fontId="268" fillId="0" borderId="10" applyAlignment="1" pivotButton="0" quotePrefix="0" xfId="0">
      <alignment horizontal="left" vertical="center" wrapText="1"/>
    </xf>
    <xf numFmtId="0" fontId="99" fillId="0" borderId="4" applyAlignment="1" pivotButton="0" quotePrefix="0" xfId="0">
      <alignment horizontal="center" vertical="center" wrapText="1"/>
    </xf>
    <xf numFmtId="0" fontId="100" fillId="0" borderId="3" applyAlignment="1" pivotButton="0" quotePrefix="0" xfId="0">
      <alignment horizontal="left" vertical="center" wrapText="1" indent="1"/>
    </xf>
    <xf numFmtId="0" fontId="101" fillId="0" borderId="285" applyAlignment="1" pivotButton="0" quotePrefix="0" xfId="0">
      <alignment horizontal="center" vertical="center" wrapText="1"/>
    </xf>
    <xf numFmtId="0" fontId="101" fillId="0" borderId="284" applyAlignment="1" pivotButton="0" quotePrefix="0" xfId="0">
      <alignment horizontal="center" vertical="center" wrapText="1"/>
    </xf>
    <xf numFmtId="0" fontId="99" fillId="0" borderId="109" applyAlignment="1" pivotButton="0" quotePrefix="0" xfId="0">
      <alignment horizontal="center" vertical="center" wrapText="1"/>
    </xf>
    <xf numFmtId="0" fontId="99" fillId="0" borderId="108" applyAlignment="1" pivotButton="0" quotePrefix="0" xfId="0">
      <alignment horizontal="center" vertical="center" wrapText="1"/>
    </xf>
    <xf numFmtId="0" fontId="99" fillId="0" borderId="130" applyAlignment="1" pivotButton="0" quotePrefix="0" xfId="0">
      <alignment horizontal="center" vertical="center" wrapText="1"/>
    </xf>
    <xf numFmtId="0" fontId="101" fillId="0" borderId="286" applyAlignment="1" pivotButton="0" quotePrefix="0" xfId="0">
      <alignment horizontal="center" vertical="center" wrapText="1"/>
    </xf>
    <xf numFmtId="2" fontId="99" fillId="0" borderId="8" applyAlignment="1" pivotButton="0" quotePrefix="0" xfId="0">
      <alignment horizontal="center" vertical="center" wrapText="1"/>
    </xf>
    <xf numFmtId="2" fontId="99" fillId="0" borderId="9" applyAlignment="1" pivotButton="0" quotePrefix="0" xfId="0">
      <alignment horizontal="center" vertical="center" wrapText="1"/>
    </xf>
    <xf numFmtId="2" fontId="99" fillId="0" borderId="10" applyAlignment="1" pivotButton="0" quotePrefix="0" xfId="0">
      <alignment horizontal="center" vertical="center" wrapText="1"/>
    </xf>
    <xf numFmtId="208" fontId="99" fillId="0" borderId="27" applyAlignment="1" pivotButton="0" quotePrefix="0" xfId="0">
      <alignment horizontal="center" vertical="center" wrapText="1"/>
    </xf>
    <xf numFmtId="208" fontId="99" fillId="0" borderId="52" applyAlignment="1" pivotButton="0" quotePrefix="0" xfId="0">
      <alignment horizontal="center" vertical="center" wrapText="1"/>
    </xf>
    <xf numFmtId="0" fontId="100" fillId="0" borderId="98" applyAlignment="1" pivotButton="0" quotePrefix="0" xfId="0">
      <alignment horizontal="center" vertical="center" wrapText="1"/>
    </xf>
    <xf numFmtId="0" fontId="100" fillId="0" borderId="91" applyAlignment="1" pivotButton="0" quotePrefix="0" xfId="0">
      <alignment horizontal="distributed" vertical="center" wrapText="1"/>
    </xf>
    <xf numFmtId="0" fontId="100" fillId="0" borderId="98" applyAlignment="1" pivotButton="0" quotePrefix="0" xfId="0">
      <alignment horizontal="distributed" vertical="center" wrapText="1"/>
    </xf>
    <xf numFmtId="0" fontId="100" fillId="0" borderId="89" applyAlignment="1" pivotButton="0" quotePrefix="0" xfId="0">
      <alignment horizontal="distributed" vertical="center" wrapText="1"/>
    </xf>
    <xf numFmtId="0" fontId="100" fillId="0" borderId="6" applyAlignment="1" pivotButton="0" quotePrefix="0" xfId="0">
      <alignment horizontal="left" vertical="center" wrapText="1"/>
    </xf>
    <xf numFmtId="0" fontId="100" fillId="0" borderId="1" applyAlignment="1" pivotButton="0" quotePrefix="0" xfId="0">
      <alignment horizontal="left" vertical="center" wrapText="1"/>
    </xf>
    <xf numFmtId="0" fontId="100" fillId="0" borderId="7" applyAlignment="1" pivotButton="0" quotePrefix="0" xfId="0">
      <alignment horizontal="left" vertical="center" wrapText="1"/>
    </xf>
    <xf numFmtId="0" fontId="138" fillId="0" borderId="4" applyAlignment="1" pivotButton="0" quotePrefix="0" xfId="0">
      <alignment horizontal="center" vertical="center" wrapText="1"/>
    </xf>
    <xf numFmtId="0" fontId="100" fillId="0" borderId="8" applyAlignment="1" pivotButton="0" quotePrefix="0" xfId="0">
      <alignment horizontal="center" vertical="center" shrinkToFit="1"/>
    </xf>
    <xf numFmtId="0" fontId="100" fillId="0" borderId="9" applyAlignment="1" pivotButton="0" quotePrefix="0" xfId="0">
      <alignment horizontal="center" vertical="center" shrinkToFit="1"/>
    </xf>
    <xf numFmtId="0" fontId="100" fillId="0" borderId="10" applyAlignment="1" pivotButton="0" quotePrefix="0" xfId="0">
      <alignment horizontal="center" vertical="center" shrinkToFit="1"/>
    </xf>
    <xf numFmtId="0" fontId="100" fillId="0" borderId="6" applyAlignment="1" pivotButton="0" quotePrefix="0" xfId="0">
      <alignment horizontal="center" vertical="center" shrinkToFit="1"/>
    </xf>
    <xf numFmtId="0" fontId="100" fillId="0" borderId="1" applyAlignment="1" pivotButton="0" quotePrefix="0" xfId="0">
      <alignment horizontal="center" vertical="center" shrinkToFit="1"/>
    </xf>
    <xf numFmtId="0" fontId="100" fillId="0" borderId="7" applyAlignment="1" pivotButton="0" quotePrefix="0" xfId="0">
      <alignment horizontal="center" vertical="center" shrinkToFit="1"/>
    </xf>
    <xf numFmtId="0" fontId="100" fillId="0" borderId="8" applyAlignment="1" pivotButton="0" quotePrefix="0" xfId="0">
      <alignment horizontal="left" vertical="center" wrapText="1"/>
    </xf>
    <xf numFmtId="0" fontId="100" fillId="0" borderId="9" applyAlignment="1" pivotButton="0" quotePrefix="0" xfId="0">
      <alignment horizontal="left" vertical="center" wrapText="1"/>
    </xf>
    <xf numFmtId="0" fontId="100" fillId="0" borderId="10" applyAlignment="1" pivotButton="0" quotePrefix="0" xfId="0">
      <alignment horizontal="left" vertical="center" wrapText="1"/>
    </xf>
    <xf numFmtId="0" fontId="132" fillId="0" borderId="271" applyAlignment="1" pivotButton="0" quotePrefix="0" xfId="0">
      <alignment horizontal="center" vertical="center" wrapText="1"/>
    </xf>
    <xf numFmtId="0" fontId="138" fillId="0" borderId="271" applyAlignment="1" pivotButton="0" quotePrefix="0" xfId="0">
      <alignment horizontal="left" vertical="center" wrapText="1" indent="1"/>
    </xf>
    <xf numFmtId="0" fontId="139" fillId="0" borderId="279" applyAlignment="1" pivotButton="0" quotePrefix="0" xfId="0">
      <alignment horizontal="center" vertical="center" wrapText="1"/>
    </xf>
    <xf numFmtId="0" fontId="139" fillId="0" borderId="271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horizontal="center" vertical="center" wrapText="1"/>
    </xf>
    <xf numFmtId="0" fontId="138" fillId="0" borderId="271" applyAlignment="1" pivotButton="0" quotePrefix="0" xfId="0">
      <alignment horizontal="center" vertical="center" wrapText="1"/>
    </xf>
    <xf numFmtId="0" fontId="100" fillId="0" borderId="89" applyAlignment="1" pivotButton="0" quotePrefix="0" xfId="0">
      <alignment horizontal="center" vertical="center" wrapText="1"/>
    </xf>
    <xf numFmtId="0" fontId="268" fillId="0" borderId="27" applyAlignment="1" pivotButton="0" quotePrefix="0" xfId="0">
      <alignment horizontal="left" vertical="center" wrapText="1"/>
    </xf>
    <xf numFmtId="0" fontId="268" fillId="0" borderId="3" applyAlignment="1" pivotButton="0" quotePrefix="0" xfId="0">
      <alignment horizontal="left" vertical="center" wrapText="1"/>
    </xf>
    <xf numFmtId="0" fontId="268" fillId="0" borderId="52" applyAlignment="1" pivotButton="0" quotePrefix="0" xfId="0">
      <alignment horizontal="left" vertical="center" wrapText="1"/>
    </xf>
    <xf numFmtId="0" fontId="267" fillId="0" borderId="89" applyAlignment="1" pivotButton="0" quotePrefix="0" xfId="0">
      <alignment horizontal="center" vertical="center" wrapText="1"/>
    </xf>
    <xf numFmtId="0" fontId="267" fillId="0" borderId="4" applyAlignment="1" pivotButton="0" quotePrefix="0" xfId="0">
      <alignment horizontal="center" vertical="center" wrapText="1"/>
    </xf>
    <xf numFmtId="0" fontId="267" fillId="0" borderId="91" applyAlignment="1" pivotButton="0" quotePrefix="0" xfId="0">
      <alignment horizontal="center" vertical="center" wrapText="1"/>
    </xf>
    <xf numFmtId="0" fontId="267" fillId="0" borderId="6" applyAlignment="1" pivotButton="0" quotePrefix="0" xfId="0">
      <alignment horizontal="distributed" vertical="center" wrapText="1" indent="1"/>
    </xf>
    <xf numFmtId="0" fontId="267" fillId="0" borderId="7" applyAlignment="1" pivotButton="0" quotePrefix="0" xfId="0">
      <alignment horizontal="distributed" vertical="center" wrapText="1" indent="1"/>
    </xf>
    <xf numFmtId="0" fontId="268" fillId="0" borderId="27" applyAlignment="1" pivotButton="0" quotePrefix="0" xfId="0">
      <alignment horizontal="distributed" vertical="center" wrapText="1" indent="1"/>
    </xf>
    <xf numFmtId="0" fontId="268" fillId="0" borderId="52" applyAlignment="1" pivotButton="0" quotePrefix="0" xfId="0">
      <alignment horizontal="distributed" vertical="center" wrapText="1" indent="1"/>
    </xf>
    <xf numFmtId="0" fontId="268" fillId="0" borderId="8" applyAlignment="1" pivotButton="0" quotePrefix="0" xfId="0">
      <alignment horizontal="distributed" vertical="center" wrapText="1" indent="1"/>
    </xf>
    <xf numFmtId="0" fontId="268" fillId="0" borderId="10" applyAlignment="1" pivotButton="0" quotePrefix="0" xfId="0">
      <alignment horizontal="distributed" vertical="center" wrapText="1" indent="1"/>
    </xf>
    <xf numFmtId="0" fontId="267" fillId="0" borderId="6" applyAlignment="1" pivotButton="0" quotePrefix="0" xfId="0">
      <alignment horizontal="left" vertical="center" wrapText="1"/>
    </xf>
    <xf numFmtId="0" fontId="267" fillId="0" borderId="1" applyAlignment="1" pivotButton="0" quotePrefix="0" xfId="0">
      <alignment horizontal="left" vertical="center" wrapText="1"/>
    </xf>
    <xf numFmtId="0" fontId="267" fillId="0" borderId="7" applyAlignment="1" pivotButton="0" quotePrefix="0" xfId="0">
      <alignment horizontal="left" vertical="center" wrapText="1"/>
    </xf>
    <xf numFmtId="0" fontId="268" fillId="0" borderId="27" applyAlignment="1" pivotButton="0" quotePrefix="0" xfId="0">
      <alignment horizontal="left" vertical="center" shrinkToFit="1"/>
    </xf>
    <xf numFmtId="0" fontId="268" fillId="0" borderId="3" applyAlignment="1" pivotButton="0" quotePrefix="0" xfId="0">
      <alignment horizontal="left" vertical="center" shrinkToFit="1"/>
    </xf>
    <xf numFmtId="0" fontId="268" fillId="0" borderId="52" applyAlignment="1" pivotButton="0" quotePrefix="0" xfId="0">
      <alignment horizontal="left" vertical="center" shrinkToFit="1"/>
    </xf>
    <xf numFmtId="0" fontId="267" fillId="0" borderId="98" applyAlignment="1" pivotButton="0" quotePrefix="0" xfId="0">
      <alignment horizontal="center" vertical="center" wrapText="1"/>
    </xf>
    <xf numFmtId="207" fontId="268" fillId="0" borderId="27" applyAlignment="1" pivotButton="0" quotePrefix="0" xfId="0">
      <alignment horizontal="left" vertical="center" wrapText="1"/>
    </xf>
    <xf numFmtId="207" fontId="268" fillId="0" borderId="3" applyAlignment="1" pivotButton="0" quotePrefix="0" xfId="0">
      <alignment horizontal="left" vertical="center" wrapText="1"/>
    </xf>
    <xf numFmtId="207" fontId="268" fillId="0" borderId="52" applyAlignment="1" pivotButton="0" quotePrefix="0" xfId="0">
      <alignment horizontal="left" vertical="center" wrapText="1"/>
    </xf>
    <xf numFmtId="0" fontId="141" fillId="0" borderId="0" applyAlignment="1" pivotButton="0" quotePrefix="0" xfId="0">
      <alignment horizontal="left" vertical="center" wrapText="1" indent="1"/>
    </xf>
    <xf numFmtId="0" fontId="141" fillId="0" borderId="0" applyAlignment="1" pivotButton="0" quotePrefix="0" xfId="0">
      <alignment horizontal="center" vertical="center" wrapText="1"/>
    </xf>
    <xf numFmtId="0" fontId="275" fillId="0" borderId="0" applyAlignment="1" pivotButton="0" quotePrefix="0" xfId="0">
      <alignment horizontal="left" vertical="center" wrapText="1"/>
    </xf>
    <xf numFmtId="0" fontId="276" fillId="0" borderId="0" applyAlignment="1" pivotButton="0" quotePrefix="0" xfId="0">
      <alignment horizontal="left" wrapText="1" indent="2"/>
    </xf>
    <xf numFmtId="185" fontId="101" fillId="0" borderId="0" applyAlignment="1" pivotButton="0" quotePrefix="0" xfId="0">
      <alignment horizontal="center" vertical="center" wrapText="1"/>
    </xf>
    <xf numFmtId="2" fontId="99" fillId="0" borderId="110" applyAlignment="1" pivotButton="0" quotePrefix="0" xfId="0">
      <alignment horizontal="center" vertical="center" wrapText="1"/>
    </xf>
    <xf numFmtId="2" fontId="99" fillId="0" borderId="0" applyAlignment="1" pivotButton="0" quotePrefix="0" xfId="0">
      <alignment horizontal="center" vertical="center" wrapText="1"/>
    </xf>
    <xf numFmtId="2" fontId="99" fillId="0" borderId="2" applyAlignment="1" pivotButton="0" quotePrefix="0" xfId="0">
      <alignment horizontal="center" vertical="center" wrapText="1"/>
    </xf>
    <xf numFmtId="2" fontId="99" fillId="0" borderId="111" applyAlignment="1" pivotButton="0" quotePrefix="0" xfId="0">
      <alignment horizontal="center" vertical="center" wrapText="1"/>
    </xf>
    <xf numFmtId="0" fontId="99" fillId="0" borderId="2" applyAlignment="1" pivotButton="0" quotePrefix="0" xfId="0">
      <alignment horizontal="center" vertical="center" wrapText="1"/>
    </xf>
    <xf numFmtId="182" fontId="99" fillId="0" borderId="110" applyAlignment="1" pivotButton="0" quotePrefix="0" xfId="0">
      <alignment horizontal="center" vertical="center" wrapText="1"/>
    </xf>
    <xf numFmtId="182" fontId="99" fillId="0" borderId="0" applyAlignment="1" pivotButton="0" quotePrefix="0" xfId="0">
      <alignment horizontal="center" vertical="center" wrapText="1"/>
    </xf>
    <xf numFmtId="0" fontId="99" fillId="0" borderId="6" applyAlignment="1" pivotButton="0" quotePrefix="0" xfId="0">
      <alignment horizontal="center" vertical="center" wrapText="1"/>
    </xf>
    <xf numFmtId="0" fontId="99" fillId="0" borderId="282" applyAlignment="1" pivotButton="0" quotePrefix="0" xfId="0">
      <alignment horizontal="center" vertical="center" wrapText="1"/>
    </xf>
    <xf numFmtId="1" fontId="99" fillId="0" borderId="2" applyAlignment="1" pivotButton="0" quotePrefix="0" xfId="0">
      <alignment horizontal="center" vertical="center" wrapText="1"/>
    </xf>
    <xf numFmtId="1" fontId="99" fillId="0" borderId="5" applyAlignment="1" pivotButton="0" quotePrefix="0" xfId="0">
      <alignment horizontal="center" vertical="center" wrapText="1"/>
    </xf>
    <xf numFmtId="1" fontId="99" fillId="0" borderId="110" applyAlignment="1" pivotButton="0" quotePrefix="0" xfId="0">
      <alignment horizontal="center" vertical="center" wrapText="1"/>
    </xf>
    <xf numFmtId="1" fontId="99" fillId="0" borderId="0" applyAlignment="1" pivotButton="0" quotePrefix="0" xfId="0">
      <alignment horizontal="center" vertical="center" wrapText="1"/>
    </xf>
    <xf numFmtId="172" fontId="100" fillId="0" borderId="4" applyAlignment="1" pivotButton="0" quotePrefix="0" xfId="0">
      <alignment horizontal="center" vertical="center" wrapText="1"/>
    </xf>
    <xf numFmtId="209" fontId="100" fillId="0" borderId="4" applyAlignment="1" pivotButton="0" quotePrefix="0" xfId="0">
      <alignment horizontal="center" vertical="center" wrapText="1"/>
    </xf>
    <xf numFmtId="0" fontId="138" fillId="0" borderId="27" applyAlignment="1" pivotButton="0" quotePrefix="0" xfId="0">
      <alignment horizontal="center" vertical="center" wrapText="1"/>
    </xf>
    <xf numFmtId="0" fontId="138" fillId="0" borderId="3" applyAlignment="1" pivotButton="0" quotePrefix="0" xfId="0">
      <alignment horizontal="center" vertical="center" wrapText="1"/>
    </xf>
    <xf numFmtId="0" fontId="138" fillId="0" borderId="52" applyAlignment="1" pivotButton="0" quotePrefix="0" xfId="0">
      <alignment horizontal="center" vertical="center" wrapText="1"/>
    </xf>
    <xf numFmtId="207" fontId="100" fillId="0" borderId="91" applyAlignment="1" pivotButton="0" quotePrefix="0" xfId="0">
      <alignment horizontal="center" vertical="center" wrapText="1"/>
    </xf>
    <xf numFmtId="207" fontId="100" fillId="0" borderId="89" applyAlignment="1" pivotButton="0" quotePrefix="0" xfId="0">
      <alignment horizontal="center" vertical="center" wrapText="1"/>
    </xf>
    <xf numFmtId="199" fontId="100" fillId="0" borderId="91" applyAlignment="1" pivotButton="0" quotePrefix="0" xfId="0">
      <alignment horizontal="center" vertical="center" wrapText="1"/>
    </xf>
    <xf numFmtId="199" fontId="100" fillId="0" borderId="89" applyAlignment="1" pivotButton="0" quotePrefix="0" xfId="0">
      <alignment horizontal="center" vertical="center" wrapText="1"/>
    </xf>
    <xf numFmtId="0" fontId="100" fillId="0" borderId="27" applyAlignment="1" pivotButton="0" quotePrefix="0" xfId="0">
      <alignment horizontal="center" vertical="center" wrapText="1"/>
    </xf>
    <xf numFmtId="0" fontId="100" fillId="0" borderId="3" applyAlignment="1" pivotButton="0" quotePrefix="0" xfId="0">
      <alignment horizontal="center" vertical="center" wrapText="1"/>
    </xf>
    <xf numFmtId="0" fontId="100" fillId="0" borderId="52" applyAlignment="1" pivotButton="0" quotePrefix="0" xfId="0">
      <alignment horizontal="center" vertical="center" wrapText="1"/>
    </xf>
    <xf numFmtId="0" fontId="100" fillId="0" borderId="4" applyAlignment="1" pivotButton="0" quotePrefix="0" xfId="0">
      <alignment horizontal="center" vertical="center" wrapText="1"/>
    </xf>
    <xf numFmtId="0" fontId="138" fillId="0" borderId="6" applyAlignment="1" pivotButton="0" quotePrefix="0" xfId="0">
      <alignment horizontal="center" vertical="center" wrapText="1"/>
    </xf>
    <xf numFmtId="0" fontId="138" fillId="0" borderId="7" applyAlignment="1" pivotButton="0" quotePrefix="0" xfId="0">
      <alignment horizontal="center" vertical="center" wrapText="1"/>
    </xf>
    <xf numFmtId="0" fontId="100" fillId="0" borderId="27" applyAlignment="1" pivotButton="0" quotePrefix="0" xfId="0">
      <alignment horizontal="center" vertical="center"/>
    </xf>
    <xf numFmtId="0" fontId="100" fillId="0" borderId="52" applyAlignment="1" pivotButton="0" quotePrefix="0" xfId="0">
      <alignment horizontal="center" vertical="center"/>
    </xf>
    <xf numFmtId="192" fontId="100" fillId="0" borderId="27" applyAlignment="1" pivotButton="0" quotePrefix="0" xfId="0">
      <alignment horizontal="center" vertical="center" wrapText="1"/>
    </xf>
    <xf numFmtId="192" fontId="100" fillId="0" borderId="52" applyAlignment="1" pivotButton="0" quotePrefix="0" xfId="0">
      <alignment horizontal="center" vertical="center" wrapText="1"/>
    </xf>
    <xf numFmtId="193" fontId="100" fillId="0" borderId="27" applyAlignment="1" pivotButton="0" quotePrefix="0" xfId="0">
      <alignment horizontal="center" vertical="center" wrapText="1"/>
    </xf>
    <xf numFmtId="193" fontId="100" fillId="0" borderId="52" applyAlignment="1" pivotButton="0" quotePrefix="0" xfId="0">
      <alignment horizontal="center" vertical="center" wrapText="1"/>
    </xf>
    <xf numFmtId="210" fontId="100" fillId="0" borderId="27" applyAlignment="1" pivotButton="0" quotePrefix="0" xfId="0">
      <alignment horizontal="center" vertical="center" wrapText="1"/>
    </xf>
    <xf numFmtId="210" fontId="100" fillId="0" borderId="52" applyAlignment="1" pivotButton="0" quotePrefix="0" xfId="0">
      <alignment horizontal="center" vertical="center" wrapText="1"/>
    </xf>
    <xf numFmtId="211" fontId="100" fillId="0" borderId="27" applyAlignment="1" pivotButton="0" quotePrefix="0" xfId="0">
      <alignment horizontal="center" vertical="center" wrapText="1"/>
    </xf>
    <xf numFmtId="211" fontId="100" fillId="0" borderId="52" applyAlignment="1" pivotButton="0" quotePrefix="0" xfId="0">
      <alignment horizontal="center" vertical="center" wrapText="1"/>
    </xf>
    <xf numFmtId="2" fontId="99" fillId="0" borderId="27" applyAlignment="1" pivotButton="0" quotePrefix="0" xfId="0">
      <alignment horizontal="center" vertical="center" wrapText="1"/>
    </xf>
    <xf numFmtId="2" fontId="99" fillId="0" borderId="52" applyAlignment="1" pivotButton="0" quotePrefix="0" xfId="0">
      <alignment horizontal="center" vertical="center" wrapText="1"/>
    </xf>
    <xf numFmtId="194" fontId="99" fillId="0" borderId="4" applyAlignment="1" pivotButton="0" quotePrefix="0" xfId="0">
      <alignment horizontal="center" vertical="center" wrapText="1"/>
    </xf>
    <xf numFmtId="0" fontId="99" fillId="0" borderId="91" applyAlignment="1" pivotButton="0" quotePrefix="0" xfId="0">
      <alignment horizontal="center" vertical="center" wrapText="1"/>
    </xf>
    <xf numFmtId="0" fontId="99" fillId="0" borderId="89" applyAlignment="1" pivotButton="0" quotePrefix="0" xfId="0">
      <alignment horizontal="center" vertical="center" wrapText="1"/>
    </xf>
    <xf numFmtId="0" fontId="269" fillId="0" borderId="27" applyAlignment="1" pivotButton="0" quotePrefix="0" xfId="0">
      <alignment horizontal="distributed" vertical="center" wrapText="1" indent="1"/>
    </xf>
    <xf numFmtId="0" fontId="269" fillId="0" borderId="52" applyAlignment="1" pivotButton="0" quotePrefix="0" xfId="0">
      <alignment horizontal="distributed" vertical="center" wrapText="1" indent="1"/>
    </xf>
    <xf numFmtId="0" fontId="140" fillId="0" borderId="27" applyAlignment="1" pivotButton="0" quotePrefix="0" xfId="0">
      <alignment horizontal="center" vertical="center" wrapText="1"/>
    </xf>
    <xf numFmtId="0" fontId="140" fillId="0" borderId="3" applyAlignment="1" pivotButton="0" quotePrefix="0" xfId="0">
      <alignment horizontal="center" vertical="center" wrapText="1"/>
    </xf>
    <xf numFmtId="0" fontId="140" fillId="0" borderId="52" applyAlignment="1" pivotButton="0" quotePrefix="0" xfId="0">
      <alignment horizontal="center" vertical="center" wrapText="1"/>
    </xf>
    <xf numFmtId="0" fontId="103" fillId="0" borderId="27" applyAlignment="1" pivotButton="0" quotePrefix="0" xfId="0">
      <alignment horizontal="distributed" vertical="center" wrapText="1" indent="1"/>
    </xf>
    <xf numFmtId="0" fontId="103" fillId="0" borderId="52" applyAlignment="1" pivotButton="0" quotePrefix="0" xfId="0">
      <alignment horizontal="distributed" vertical="center" wrapText="1" indent="1"/>
    </xf>
    <xf numFmtId="0" fontId="99" fillId="0" borderId="27" applyAlignment="1" pivotButton="0" quotePrefix="0" xfId="0">
      <alignment horizontal="center" vertical="center" wrapText="1"/>
    </xf>
    <xf numFmtId="0" fontId="99" fillId="0" borderId="3" applyAlignment="1" pivotButton="0" quotePrefix="0" xfId="0">
      <alignment horizontal="center" vertical="center" wrapText="1"/>
    </xf>
    <xf numFmtId="0" fontId="99" fillId="0" borderId="52" applyAlignment="1" pivotButton="0" quotePrefix="0" xfId="0">
      <alignment horizontal="center" vertical="center" wrapText="1"/>
    </xf>
    <xf numFmtId="0" fontId="103" fillId="0" borderId="27" applyAlignment="1" pivotButton="0" quotePrefix="0" xfId="2">
      <alignment horizontal="distributed" vertical="center" wrapText="1" indent="1"/>
    </xf>
    <xf numFmtId="0" fontId="103" fillId="0" borderId="52" applyAlignment="1" pivotButton="0" quotePrefix="0" xfId="2">
      <alignment horizontal="distributed" vertical="center" wrapText="1" indent="1"/>
    </xf>
    <xf numFmtId="0" fontId="103" fillId="0" borderId="8" applyAlignment="1" pivotButton="0" quotePrefix="0" xfId="0">
      <alignment horizontal="distributed" vertical="center" wrapText="1" indent="1"/>
    </xf>
    <xf numFmtId="0" fontId="103" fillId="0" borderId="10" applyAlignment="1" pivotButton="0" quotePrefix="0" xfId="0">
      <alignment horizontal="distributed" vertical="center" wrapText="1" indent="1"/>
    </xf>
    <xf numFmtId="185" fontId="99" fillId="0" borderId="27" applyAlignment="1" pivotButton="0" quotePrefix="0" xfId="0">
      <alignment horizontal="center" vertical="center" wrapText="1"/>
    </xf>
    <xf numFmtId="185" fontId="99" fillId="0" borderId="3" applyAlignment="1" pivotButton="0" quotePrefix="0" xfId="0">
      <alignment horizontal="center" vertical="center" wrapText="1"/>
    </xf>
    <xf numFmtId="185" fontId="99" fillId="0" borderId="52" applyAlignment="1" pivotButton="0" quotePrefix="0" xfId="0">
      <alignment horizontal="center" vertical="center" wrapText="1"/>
    </xf>
    <xf numFmtId="2" fontId="103" fillId="0" borderId="8" applyAlignment="1" pivotButton="0" quotePrefix="0" xfId="0">
      <alignment horizontal="distributed" vertical="center" wrapText="1" indent="1"/>
    </xf>
    <xf numFmtId="2" fontId="103" fillId="0" borderId="10" applyAlignment="1" pivotButton="0" quotePrefix="0" xfId="0">
      <alignment horizontal="distributed" vertical="center" wrapText="1" indent="1"/>
    </xf>
    <xf numFmtId="2" fontId="103" fillId="0" borderId="2" applyAlignment="1" pivotButton="0" quotePrefix="0" xfId="0">
      <alignment horizontal="distributed" vertical="center" wrapText="1" indent="1"/>
    </xf>
    <xf numFmtId="2" fontId="103" fillId="0" borderId="5" applyAlignment="1" pivotButton="0" quotePrefix="0" xfId="0">
      <alignment horizontal="distributed" vertical="center" wrapText="1" indent="1"/>
    </xf>
    <xf numFmtId="2" fontId="99" fillId="0" borderId="3" applyAlignment="1" pivotButton="0" quotePrefix="0" xfId="0">
      <alignment horizontal="center" vertical="center" wrapText="1"/>
    </xf>
    <xf numFmtId="0" fontId="103" fillId="0" borderId="4" applyAlignment="1" pivotButton="0" quotePrefix="0" xfId="0">
      <alignment horizontal="center" vertical="center" wrapText="1"/>
    </xf>
    <xf numFmtId="0" fontId="100" fillId="0" borderId="8" applyAlignment="1" pivotButton="0" quotePrefix="0" xfId="0">
      <alignment horizontal="center" vertical="center" wrapText="1"/>
    </xf>
    <xf numFmtId="0" fontId="100" fillId="0" borderId="10" applyAlignment="1" pivotButton="0" quotePrefix="0" xfId="0">
      <alignment horizontal="center" vertical="center" wrapText="1"/>
    </xf>
    <xf numFmtId="0" fontId="100" fillId="0" borderId="6" applyAlignment="1" pivotButton="0" quotePrefix="0" xfId="0">
      <alignment horizontal="center" vertical="center" wrapText="1"/>
    </xf>
    <xf numFmtId="0" fontId="100" fillId="0" borderId="7" applyAlignment="1" pivotButton="0" quotePrefix="0" xfId="0">
      <alignment horizontal="center" vertical="center" wrapText="1"/>
    </xf>
    <xf numFmtId="0" fontId="100" fillId="0" borderId="2" applyAlignment="1" pivotButton="0" quotePrefix="0" xfId="0">
      <alignment horizontal="center" vertical="center" shrinkToFit="1"/>
    </xf>
    <xf numFmtId="0" fontId="100" fillId="0" borderId="5" applyAlignment="1" pivotButton="0" quotePrefix="0" xfId="0">
      <alignment horizontal="center" vertical="center" shrinkToFit="1"/>
    </xf>
    <xf numFmtId="212" fontId="101" fillId="0" borderId="27" applyAlignment="1" pivotButton="0" quotePrefix="0" xfId="0">
      <alignment horizontal="center" vertical="center" shrinkToFit="1"/>
    </xf>
    <xf numFmtId="212" fontId="101" fillId="0" borderId="52" applyAlignment="1" pivotButton="0" quotePrefix="0" xfId="0">
      <alignment horizontal="center" vertical="center" shrinkToFit="1"/>
    </xf>
    <xf numFmtId="0" fontId="101" fillId="0" borderId="27" applyAlignment="1" pivotButton="0" quotePrefix="0" xfId="0">
      <alignment horizontal="center" vertical="center" wrapText="1"/>
    </xf>
    <xf numFmtId="0" fontId="101" fillId="0" borderId="52" applyAlignment="1" pivotButton="0" quotePrefix="0" xfId="0">
      <alignment horizontal="center" vertical="center" wrapText="1"/>
    </xf>
    <xf numFmtId="0" fontId="0" fillId="0" borderId="27" applyAlignment="1" pivotButton="0" quotePrefix="0" xfId="0">
      <alignment horizontal="center" vertical="center"/>
    </xf>
    <xf numFmtId="0" fontId="0" fillId="0" borderId="52" applyAlignment="1" pivotButton="0" quotePrefix="0" xfId="0">
      <alignment horizontal="center" vertical="center"/>
    </xf>
    <xf numFmtId="0" fontId="101" fillId="0" borderId="287" applyAlignment="1" pivotButton="0" quotePrefix="0" xfId="0">
      <alignment horizontal="center" vertical="center" wrapText="1"/>
    </xf>
    <xf numFmtId="0" fontId="101" fillId="0" borderId="288" applyAlignment="1" pivotButton="0" quotePrefix="0" xfId="0">
      <alignment horizontal="center" vertical="center" wrapText="1"/>
    </xf>
    <xf numFmtId="0" fontId="101" fillId="0" borderId="4" applyAlignment="1" pivotButton="0" quotePrefix="0" xfId="0">
      <alignment horizontal="center" vertical="center" wrapText="1"/>
    </xf>
    <xf numFmtId="0" fontId="101" fillId="0" borderId="6" applyAlignment="1" pivotButton="0" quotePrefix="0" xfId="0">
      <alignment horizontal="center" vertical="center" wrapText="1"/>
    </xf>
    <xf numFmtId="0" fontId="101" fillId="0" borderId="1" applyAlignment="1" pivotButton="0" quotePrefix="0" xfId="0">
      <alignment horizontal="center" vertical="center" wrapText="1"/>
    </xf>
    <xf numFmtId="0" fontId="99" fillId="0" borderId="280" applyAlignment="1" pivotButton="0" quotePrefix="0" xfId="0">
      <alignment horizontal="center" vertical="center" wrapText="1"/>
    </xf>
    <xf numFmtId="169" fontId="99" fillId="0" borderId="109" applyAlignment="1" pivotButton="0" quotePrefix="0" xfId="0">
      <alignment horizontal="center" vertical="center" wrapText="1"/>
    </xf>
    <xf numFmtId="169" fontId="99" fillId="0" borderId="108" applyAlignment="1" pivotButton="0" quotePrefix="0" xfId="0">
      <alignment horizontal="center" vertical="center" wrapText="1"/>
    </xf>
    <xf numFmtId="169" fontId="99" fillId="0" borderId="110" applyAlignment="1" pivotButton="0" quotePrefix="0" xfId="0">
      <alignment horizontal="center" vertical="center" wrapText="1"/>
    </xf>
    <xf numFmtId="169" fontId="99" fillId="0" borderId="0" applyAlignment="1" pivotButton="0" quotePrefix="0" xfId="0">
      <alignment horizontal="center" vertical="center" wrapText="1"/>
    </xf>
    <xf numFmtId="169" fontId="81" fillId="0" borderId="280" applyAlignment="1" pivotButton="0" quotePrefix="0" xfId="0">
      <alignment horizontal="center" vertical="center" wrapText="1"/>
    </xf>
    <xf numFmtId="169" fontId="81" fillId="0" borderId="283" applyAlignment="1" pivotButton="0" quotePrefix="0" xfId="0">
      <alignment horizontal="center" vertical="center" wrapText="1"/>
    </xf>
    <xf numFmtId="169" fontId="99" fillId="0" borderId="2" applyAlignment="1" pivotButton="0" quotePrefix="0" xfId="0">
      <alignment horizontal="center" vertical="center" wrapText="1"/>
    </xf>
    <xf numFmtId="169" fontId="99" fillId="0" borderId="5" applyAlignment="1" pivotButton="0" quotePrefix="0" xfId="0">
      <alignment horizontal="center" vertical="center" wrapText="1"/>
    </xf>
    <xf numFmtId="1" fontId="99" fillId="0" borderId="111" applyAlignment="1" pivotButton="0" quotePrefix="0" xfId="0">
      <alignment horizontal="center" vertical="center" wrapText="1"/>
    </xf>
    <xf numFmtId="182" fontId="99" fillId="0" borderId="2" applyAlignment="1" pivotButton="0" quotePrefix="0" xfId="0">
      <alignment horizontal="center" vertical="center" wrapText="1"/>
    </xf>
    <xf numFmtId="182" fontId="99" fillId="0" borderId="111" applyAlignment="1" pivotButton="0" quotePrefix="0" xfId="0">
      <alignment horizontal="center" vertical="center" wrapText="1"/>
    </xf>
    <xf numFmtId="169" fontId="99" fillId="0" borderId="111" applyAlignment="1" pivotButton="0" quotePrefix="0" xfId="0">
      <alignment horizontal="center" vertical="center" wrapText="1"/>
    </xf>
    <xf numFmtId="2" fontId="99" fillId="0" borderId="5" applyAlignment="1" pivotButton="0" quotePrefix="0" xfId="0">
      <alignment horizontal="center" vertical="center" wrapText="1"/>
    </xf>
    <xf numFmtId="182" fontId="99" fillId="0" borderId="5" applyAlignment="1" pivotButton="0" quotePrefix="0" xfId="0">
      <alignment horizontal="center" vertical="center" wrapText="1"/>
    </xf>
    <xf numFmtId="2" fontId="99" fillId="0" borderId="6" applyAlignment="1" pivotButton="0" quotePrefix="0" xfId="0">
      <alignment horizontal="center" vertical="center" wrapText="1"/>
    </xf>
    <xf numFmtId="2" fontId="99" fillId="0" borderId="7" applyAlignment="1" pivotButton="0" quotePrefix="0" xfId="0">
      <alignment horizontal="center" vertical="center" wrapText="1"/>
    </xf>
    <xf numFmtId="0" fontId="99" fillId="0" borderId="8" applyAlignment="1" pivotButton="0" quotePrefix="0" xfId="0">
      <alignment horizontal="center" vertical="center" wrapText="1"/>
    </xf>
    <xf numFmtId="0" fontId="99" fillId="0" borderId="10" applyAlignment="1" pivotButton="0" quotePrefix="0" xfId="0">
      <alignment horizontal="center" vertical="center" wrapText="1"/>
    </xf>
    <xf numFmtId="0" fontId="99" fillId="0" borderId="7" applyAlignment="1" pivotButton="0" quotePrefix="0" xfId="0">
      <alignment horizontal="center" vertical="center" wrapText="1"/>
    </xf>
    <xf numFmtId="168" fontId="99" fillId="0" borderId="8" applyAlignment="1" pivotButton="0" quotePrefix="0" xfId="0">
      <alignment horizontal="center" vertical="center" wrapText="1"/>
    </xf>
    <xf numFmtId="168" fontId="99" fillId="0" borderId="10" applyAlignment="1" pivotButton="0" quotePrefix="0" xfId="0">
      <alignment horizontal="center" vertical="center" wrapText="1"/>
    </xf>
    <xf numFmtId="168" fontId="99" fillId="0" borderId="6" applyAlignment="1" pivotButton="0" quotePrefix="0" xfId="0">
      <alignment horizontal="center" vertical="center" wrapText="1"/>
    </xf>
    <xf numFmtId="168" fontId="99" fillId="0" borderId="7" applyAlignment="1" pivotButton="0" quotePrefix="0" xfId="0">
      <alignment horizontal="center" vertical="center" wrapText="1"/>
    </xf>
    <xf numFmtId="0" fontId="102" fillId="0" borderId="91" applyAlignment="1" pivotButton="0" quotePrefix="0" xfId="0">
      <alignment horizontal="center" vertical="center" wrapText="1"/>
    </xf>
    <xf numFmtId="0" fontId="102" fillId="0" borderId="89" applyAlignment="1" pivotButton="0" quotePrefix="0" xfId="0">
      <alignment horizontal="center" vertical="center" wrapText="1"/>
    </xf>
    <xf numFmtId="0" fontId="99" fillId="0" borderId="5" applyAlignment="1" pivotButton="0" quotePrefix="0" xfId="0">
      <alignment horizontal="center" vertical="center" wrapText="1"/>
    </xf>
    <xf numFmtId="2" fontId="99" fillId="0" borderId="281" applyAlignment="1" pivotButton="0" quotePrefix="0" xfId="0">
      <alignment horizontal="center" vertical="center" wrapText="1"/>
    </xf>
    <xf numFmtId="2" fontId="99" fillId="0" borderId="1" applyAlignment="1" pivotButton="0" quotePrefix="0" xfId="0">
      <alignment horizontal="center" vertical="center" wrapText="1"/>
    </xf>
    <xf numFmtId="185" fontId="275" fillId="0" borderId="0" applyAlignment="1" pivotButton="0" quotePrefix="0" xfId="0">
      <alignment horizontal="left" vertical="center" wrapText="1"/>
    </xf>
    <xf numFmtId="185" fontId="101" fillId="0" borderId="0" applyAlignment="1" pivotButton="0" quotePrefix="0" xfId="0">
      <alignment horizontal="left" vertical="center" wrapText="1"/>
    </xf>
    <xf numFmtId="213" fontId="100" fillId="0" borderId="27" applyAlignment="1" pivotButton="0" quotePrefix="0" xfId="0">
      <alignment horizontal="center" vertical="center" wrapText="1"/>
    </xf>
    <xf numFmtId="213" fontId="100" fillId="0" borderId="3" applyAlignment="1" pivotButton="0" quotePrefix="0" xfId="0">
      <alignment horizontal="center" vertical="center" wrapText="1"/>
    </xf>
    <xf numFmtId="213" fontId="100" fillId="0" borderId="52" applyAlignment="1" pivotButton="0" quotePrefix="0" xfId="0">
      <alignment horizontal="center" vertical="center" wrapText="1"/>
    </xf>
    <xf numFmtId="0" fontId="100" fillId="0" borderId="27" applyAlignment="1" pivotButton="0" quotePrefix="0" xfId="0">
      <alignment horizontal="left" vertical="center" wrapText="1"/>
    </xf>
    <xf numFmtId="0" fontId="100" fillId="0" borderId="52" applyAlignment="1" pivotButton="0" quotePrefix="0" xfId="0">
      <alignment horizontal="left" vertical="center" wrapText="1"/>
    </xf>
    <xf numFmtId="0" fontId="100" fillId="0" borderId="27" applyAlignment="1" pivotButton="0" quotePrefix="0" xfId="0">
      <alignment horizontal="distributed" vertical="center" wrapText="1" indent="1"/>
    </xf>
    <xf numFmtId="0" fontId="100" fillId="0" borderId="52" applyAlignment="1" pivotButton="0" quotePrefix="0" xfId="0">
      <alignment horizontal="distributed" vertical="center" wrapText="1" indent="1"/>
    </xf>
    <xf numFmtId="0" fontId="100" fillId="0" borderId="0" applyAlignment="1" pivotButton="0" quotePrefix="0" xfId="0">
      <alignment horizontal="left" vertical="center" wrapText="1"/>
    </xf>
    <xf numFmtId="0" fontId="77" fillId="0" borderId="0" applyAlignment="1" pivotButton="0" quotePrefix="0" xfId="0">
      <alignment horizontal="center" vertical="center"/>
    </xf>
    <xf numFmtId="0" fontId="77" fillId="0" borderId="5" applyAlignment="1" pivotButton="0" quotePrefix="0" xfId="0">
      <alignment horizontal="center" vertical="center"/>
    </xf>
    <xf numFmtId="0" fontId="82" fillId="0" borderId="1" applyAlignment="1" pivotButton="0" quotePrefix="0" xfId="0">
      <alignment horizontal="center" vertical="center"/>
    </xf>
    <xf numFmtId="214" fontId="0" fillId="0" borderId="9" applyAlignment="1" pivotButton="0" quotePrefix="0" xfId="0">
      <alignment horizontal="left" vertical="center"/>
    </xf>
    <xf numFmtId="215" fontId="0" fillId="0" borderId="9" applyAlignment="1" pivotButton="0" quotePrefix="0" xfId="0">
      <alignment horizontal="left" vertical="center"/>
    </xf>
    <xf numFmtId="215" fontId="0" fillId="0" borderId="10" applyAlignment="1" pivotButton="0" quotePrefix="0" xfId="0">
      <alignment horizontal="left" vertical="center"/>
    </xf>
    <xf numFmtId="2" fontId="167" fillId="0" borderId="0" applyAlignment="1" pivotButton="0" quotePrefix="0" xfId="4">
      <alignment horizontal="center" vertical="center"/>
    </xf>
    <xf numFmtId="0" fontId="167" fillId="0" borderId="0" applyAlignment="1" pivotButton="0" quotePrefix="0" xfId="5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75" fillId="0" borderId="4" applyAlignment="1" pivotButton="0" quotePrefix="0" xfId="0">
      <alignment horizontal="center" vertical="center"/>
    </xf>
    <xf numFmtId="0" fontId="81" fillId="0" borderId="9" applyAlignment="1" pivotButton="0" quotePrefix="0" xfId="0">
      <alignment horizontal="center" vertical="center"/>
    </xf>
    <xf numFmtId="0" fontId="104" fillId="0" borderId="1" applyAlignment="1" pivotButton="0" quotePrefix="0" xfId="0">
      <alignment horizontal="center" vertical="center"/>
    </xf>
    <xf numFmtId="0" fontId="104" fillId="0" borderId="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68" fontId="75" fillId="0" borderId="0" applyAlignment="1" pivotButton="0" quotePrefix="0" xfId="0">
      <alignment horizontal="center" vertical="center"/>
    </xf>
    <xf numFmtId="1" fontId="75" fillId="0" borderId="4" applyAlignment="1" pivotButton="0" quotePrefix="0" xfId="0">
      <alignment horizontal="center" vertical="center"/>
    </xf>
    <xf numFmtId="170" fontId="75" fillId="0" borderId="4" applyAlignment="1" pivotButton="0" quotePrefix="0" xfId="0">
      <alignment horizontal="center" vertical="center"/>
    </xf>
    <xf numFmtId="0" fontId="104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75" fillId="0" borderId="0" applyAlignment="1" pivotButton="0" quotePrefix="0" xfId="0">
      <alignment horizontal="center" vertical="center"/>
    </xf>
    <xf numFmtId="170" fontId="83" fillId="0" borderId="27" applyAlignment="1" pivotButton="0" quotePrefix="0" xfId="0">
      <alignment horizontal="center" vertical="center"/>
    </xf>
    <xf numFmtId="170" fontId="83" fillId="0" borderId="3" applyAlignment="1" pivotButton="0" quotePrefix="0" xfId="0">
      <alignment horizontal="center" vertical="center"/>
    </xf>
    <xf numFmtId="170" fontId="83" fillId="0" borderId="52" applyAlignment="1" pivotButton="0" quotePrefix="0" xfId="0">
      <alignment horizontal="center" vertical="center"/>
    </xf>
    <xf numFmtId="166" fontId="83" fillId="0" borderId="3" applyAlignment="1" pivotButton="0" quotePrefix="0" xfId="0">
      <alignment horizontal="center" vertical="center"/>
    </xf>
    <xf numFmtId="166" fontId="83" fillId="0" borderId="52" applyAlignment="1" pivotButton="0" quotePrefix="0" xfId="0">
      <alignment horizontal="center" vertical="center"/>
    </xf>
    <xf numFmtId="0" fontId="83" fillId="0" borderId="27" applyAlignment="1" pivotButton="0" quotePrefix="0" xfId="0">
      <alignment horizontal="center" vertical="center"/>
    </xf>
    <xf numFmtId="0" fontId="83" fillId="0" borderId="3" applyAlignment="1" pivotButton="0" quotePrefix="0" xfId="0">
      <alignment horizontal="center" vertical="center"/>
    </xf>
    <xf numFmtId="0" fontId="83" fillId="0" borderId="52" applyAlignment="1" pivotButton="0" quotePrefix="0" xfId="0">
      <alignment horizontal="center" vertical="center"/>
    </xf>
    <xf numFmtId="0" fontId="84" fillId="0" borderId="0" applyAlignment="1" pivotButton="0" quotePrefix="0" xfId="0">
      <alignment horizontal="center" vertical="center"/>
    </xf>
    <xf numFmtId="0" fontId="84" fillId="0" borderId="1" applyAlignment="1" pivotButton="0" quotePrefix="0" xfId="0">
      <alignment horizontal="center" vertical="center"/>
    </xf>
    <xf numFmtId="0" fontId="82" fillId="0" borderId="3" applyAlignment="1" pivotButton="0" quotePrefix="0" xfId="0">
      <alignment horizontal="center" vertical="center"/>
    </xf>
    <xf numFmtId="191" fontId="75" fillId="0" borderId="4" applyAlignment="1" pivotButton="0" quotePrefix="0" xfId="0">
      <alignment horizontal="center" vertical="center"/>
    </xf>
    <xf numFmtId="166" fontId="78" fillId="0" borderId="0" applyAlignment="1" pivotButton="0" quotePrefix="0" xfId="0">
      <alignment horizontal="center" vertical="center"/>
    </xf>
    <xf numFmtId="0" fontId="78" fillId="0" borderId="0" applyAlignment="1" pivotButton="0" quotePrefix="0" xfId="0">
      <alignment horizontal="center" vertical="center"/>
    </xf>
    <xf numFmtId="0" fontId="78" fillId="0" borderId="1" applyAlignment="1" pivotButton="0" quotePrefix="0" xfId="0">
      <alignment horizontal="center" vertical="center"/>
    </xf>
    <xf numFmtId="0" fontId="82" fillId="0" borderId="0" applyAlignment="1" pivotButton="0" quotePrefix="0" xfId="0">
      <alignment horizontal="center" vertical="center"/>
    </xf>
    <xf numFmtId="166" fontId="82" fillId="0" borderId="1" applyAlignment="1" pivotButton="0" quotePrefix="0" xfId="0">
      <alignment horizontal="center" vertical="center"/>
    </xf>
    <xf numFmtId="0" fontId="81" fillId="0" borderId="2" applyAlignment="1" pivotButton="0" quotePrefix="0" xfId="0">
      <alignment horizontal="center" vertical="center" shrinkToFit="1"/>
    </xf>
    <xf numFmtId="0" fontId="0" fillId="0" borderId="0" applyAlignment="1" pivotButton="0" quotePrefix="0" xfId="0">
      <alignment vertical="center"/>
    </xf>
    <xf numFmtId="0" fontId="81" fillId="0" borderId="8" applyAlignment="1" pivotButton="0" quotePrefix="0" xfId="0">
      <alignment horizontal="center" vertical="center" shrinkToFit="1"/>
    </xf>
    <xf numFmtId="0" fontId="0" fillId="0" borderId="9" applyAlignment="1" pivotButton="0" quotePrefix="0" xfId="0">
      <alignment vertical="center"/>
    </xf>
    <xf numFmtId="0" fontId="81" fillId="0" borderId="9" applyAlignment="1" pivotButton="0" quotePrefix="0" xfId="0">
      <alignment horizontal="left" vertical="center"/>
    </xf>
    <xf numFmtId="0" fontId="81" fillId="0" borderId="10" applyAlignment="1" pivotButton="0" quotePrefix="0" xfId="0">
      <alignment horizontal="left" vertical="center"/>
    </xf>
    <xf numFmtId="0" fontId="81" fillId="0" borderId="18" applyAlignment="1" pivotButton="0" quotePrefix="0" xfId="0">
      <alignment horizontal="left" vertical="center"/>
    </xf>
    <xf numFmtId="0" fontId="81" fillId="0" borderId="14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205" fontId="78" fillId="0" borderId="1" applyAlignment="1" pivotButton="0" quotePrefix="0" xfId="0">
      <alignment horizontal="center" vertical="center" shrinkToFit="1"/>
    </xf>
    <xf numFmtId="0" fontId="81" fillId="0" borderId="16" applyAlignment="1" pivotButton="0" quotePrefix="0" xfId="0">
      <alignment horizontal="left" vertical="center"/>
    </xf>
    <xf numFmtId="0" fontId="82" fillId="0" borderId="5" applyAlignment="1" pivotButton="0" quotePrefix="0" xfId="0">
      <alignment horizontal="center" vertical="center"/>
    </xf>
    <xf numFmtId="0" fontId="82" fillId="0" borderId="7" applyAlignment="1" pivotButton="0" quotePrefix="0" xfId="0">
      <alignment horizontal="center" vertical="center"/>
    </xf>
    <xf numFmtId="0" fontId="82" fillId="0" borderId="9" applyAlignment="1" pivotButton="0" quotePrefix="0" xfId="0">
      <alignment horizontal="center" vertical="center"/>
    </xf>
    <xf numFmtId="0" fontId="81" fillId="0" borderId="75" applyAlignment="1" pivotButton="0" quotePrefix="0" xfId="0">
      <alignment horizontal="center" vertical="center"/>
    </xf>
    <xf numFmtId="0" fontId="81" fillId="0" borderId="18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81" fillId="0" borderId="77" applyAlignment="1" pivotButton="0" quotePrefix="0" xfId="0">
      <alignment horizontal="center" vertical="center"/>
    </xf>
    <xf numFmtId="0" fontId="81" fillId="0" borderId="16" applyAlignment="1" pivotButton="0" quotePrefix="0" xfId="0">
      <alignment horizontal="center" vertical="center"/>
    </xf>
    <xf numFmtId="0" fontId="81" fillId="0" borderId="19" applyAlignment="1" pivotButton="0" quotePrefix="0" xfId="0">
      <alignment horizontal="center" vertical="center"/>
    </xf>
    <xf numFmtId="0" fontId="81" fillId="0" borderId="14" applyAlignment="1" pivotButton="0" quotePrefix="0" xfId="0">
      <alignment horizontal="center" vertical="center"/>
    </xf>
    <xf numFmtId="0" fontId="81" fillId="0" borderId="72" applyAlignment="1" pivotButton="0" quotePrefix="0" xfId="0">
      <alignment horizontal="center" vertical="center"/>
    </xf>
    <xf numFmtId="0" fontId="81" fillId="0" borderId="71" applyAlignment="1" pivotButton="0" quotePrefix="0" xfId="0">
      <alignment horizontal="center" vertical="center"/>
    </xf>
    <xf numFmtId="169" fontId="0" fillId="0" borderId="1" applyAlignment="1" pivotButton="0" quotePrefix="0" xfId="0">
      <alignment horizontal="center" vertical="center"/>
    </xf>
    <xf numFmtId="166" fontId="0" fillId="0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9" fontId="0" fillId="0" borderId="3" applyAlignment="1" pivotButton="0" quotePrefix="0" xfId="0">
      <alignment horizontal="center" vertical="center"/>
    </xf>
    <xf numFmtId="0" fontId="81" fillId="0" borderId="73" applyAlignment="1" pivotButton="0" quotePrefix="0" xfId="0">
      <alignment horizontal="center" vertical="center" shrinkToFit="1"/>
    </xf>
    <xf numFmtId="0" fontId="0" fillId="0" borderId="14" applyAlignment="1" pivotButton="0" quotePrefix="0" xfId="0">
      <alignment vertical="center"/>
    </xf>
    <xf numFmtId="0" fontId="81" fillId="0" borderId="74" applyAlignment="1" pivotButton="0" quotePrefix="0" xfId="0">
      <alignment horizontal="center" vertical="center" shrinkToFit="1"/>
    </xf>
    <xf numFmtId="0" fontId="0" fillId="0" borderId="18" applyAlignment="1" pivotButton="0" quotePrefix="0" xfId="0">
      <alignment vertical="center"/>
    </xf>
    <xf numFmtId="0" fontId="81" fillId="0" borderId="1" applyAlignment="1" pivotButton="0" quotePrefix="0" xfId="0">
      <alignment horizontal="left" vertical="center"/>
    </xf>
    <xf numFmtId="0" fontId="81" fillId="0" borderId="36" applyAlignment="1" pivotButton="0" quotePrefix="0" xfId="0">
      <alignment horizontal="center" vertical="center"/>
    </xf>
    <xf numFmtId="0" fontId="81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right" vertical="center"/>
    </xf>
    <xf numFmtId="0" fontId="0" fillId="0" borderId="9" applyAlignment="1" pivotButton="0" quotePrefix="0" xfId="0">
      <alignment horizontal="center" vertical="center"/>
    </xf>
    <xf numFmtId="205" fontId="0" fillId="0" borderId="9" applyAlignment="1" pivotButton="0" quotePrefix="0" xfId="0">
      <alignment horizontal="center" vertical="center"/>
    </xf>
    <xf numFmtId="0" fontId="77" fillId="0" borderId="1" applyAlignment="1" pivotButton="0" quotePrefix="0" xfId="0">
      <alignment horizontal="center" vertical="center"/>
    </xf>
    <xf numFmtId="201" fontId="82" fillId="0" borderId="0" applyAlignment="1" pivotButton="0" quotePrefix="0" xfId="2">
      <alignment horizontal="center" vertical="center"/>
    </xf>
    <xf numFmtId="201" fontId="82" fillId="0" borderId="1" applyAlignment="1" pivotButton="0" quotePrefix="0" xfId="2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82" fillId="0" borderId="2" applyAlignment="1" pivotButton="0" quotePrefix="0" xfId="0">
      <alignment horizontal="center" vertical="center"/>
    </xf>
    <xf numFmtId="0" fontId="146" fillId="0" borderId="2" applyAlignment="1" pivotButton="0" quotePrefix="0" xfId="0">
      <alignment horizontal="center" vertical="center"/>
    </xf>
    <xf numFmtId="170" fontId="82" fillId="0" borderId="37" applyAlignment="1" pivotButton="0" quotePrefix="0" xfId="0">
      <alignment horizontal="center" vertical="center"/>
    </xf>
    <xf numFmtId="170" fontId="82" fillId="0" borderId="0" applyAlignment="1" pivotButton="0" quotePrefix="0" xfId="0">
      <alignment horizontal="center" vertical="center"/>
    </xf>
    <xf numFmtId="0" fontId="82" fillId="0" borderId="6" applyAlignment="1" pivotButton="0" quotePrefix="0" xfId="0">
      <alignment horizontal="center" vertical="center"/>
    </xf>
    <xf numFmtId="166" fontId="82" fillId="0" borderId="0" applyAlignment="1" pivotButton="0" quotePrefix="0" xfId="0">
      <alignment horizontal="center" vertical="center"/>
    </xf>
    <xf numFmtId="0" fontId="82" fillId="0" borderId="13" applyAlignment="1" pivotButton="0" quotePrefix="0" xfId="0">
      <alignment horizontal="center" vertical="center"/>
    </xf>
    <xf numFmtId="166" fontId="82" fillId="0" borderId="3" applyAlignment="1" pivotButton="0" quotePrefix="0" xfId="0">
      <alignment horizontal="center" vertical="center"/>
    </xf>
    <xf numFmtId="0" fontId="8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 vertical="center"/>
    </xf>
    <xf numFmtId="0" fontId="145" fillId="0" borderId="0" applyAlignment="1" pivotButton="0" quotePrefix="0" xfId="0">
      <alignment horizontal="center" vertical="center"/>
    </xf>
    <xf numFmtId="0" fontId="81" fillId="0" borderId="73" applyAlignment="1" pivotButton="0" quotePrefix="0" xfId="0">
      <alignment horizontal="center" vertical="center"/>
    </xf>
    <xf numFmtId="0" fontId="81" fillId="0" borderId="74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191" fontId="0" fillId="0" borderId="0" applyAlignment="1" pivotButton="0" quotePrefix="0" xfId="0">
      <alignment horizontal="center" vertical="center" shrinkToFit="1"/>
    </xf>
    <xf numFmtId="205" fontId="0" fillId="0" borderId="0" applyAlignment="1" pivotButton="0" quotePrefix="0" xfId="0">
      <alignment horizontal="center" vertical="center"/>
    </xf>
    <xf numFmtId="205" fontId="0" fillId="0" borderId="1" applyAlignment="1" pivotButton="0" quotePrefix="0" xfId="0">
      <alignment horizontal="center" vertical="center"/>
    </xf>
    <xf numFmtId="169" fontId="75" fillId="0" borderId="4" applyAlignment="1" pivotButton="0" quotePrefix="0" xfId="0">
      <alignment horizontal="center" vertical="center"/>
    </xf>
    <xf numFmtId="0" fontId="80" fillId="0" borderId="0" applyAlignment="1" pivotButton="0" quotePrefix="0" xfId="0">
      <alignment horizontal="center" vertical="center"/>
    </xf>
    <xf numFmtId="0" fontId="75" fillId="0" borderId="0" applyAlignment="1" pivotButton="0" quotePrefix="0" xfId="0">
      <alignment horizontal="center" vertical="center" shrinkToFit="1"/>
    </xf>
    <xf numFmtId="170" fontId="82" fillId="0" borderId="1" applyAlignment="1" pivotButton="0" quotePrefix="0" xfId="0">
      <alignment horizontal="center" vertical="center" shrinkToFit="1"/>
    </xf>
    <xf numFmtId="0" fontId="104" fillId="0" borderId="6" applyAlignment="1" pivotButton="0" quotePrefix="0" xfId="0">
      <alignment horizontal="center" vertical="center"/>
    </xf>
    <xf numFmtId="0" fontId="83" fillId="0" borderId="27" applyAlignment="1" pivotButton="0" quotePrefix="0" xfId="0">
      <alignment horizontal="center" vertical="center" shrinkToFit="1"/>
    </xf>
    <xf numFmtId="0" fontId="83" fillId="0" borderId="3" applyAlignment="1" pivotButton="0" quotePrefix="0" xfId="0">
      <alignment horizontal="center" vertical="center" shrinkToFit="1"/>
    </xf>
    <xf numFmtId="0" fontId="83" fillId="0" borderId="52" applyAlignment="1" pivotButton="0" quotePrefix="0" xfId="0">
      <alignment horizontal="center" vertical="center" shrinkToFit="1"/>
    </xf>
    <xf numFmtId="2" fontId="167" fillId="0" borderId="3" applyAlignment="1" pivotButton="0" quotePrefix="0" xfId="5">
      <alignment horizontal="center" vertical="center"/>
    </xf>
    <xf numFmtId="168" fontId="83" fillId="0" borderId="27" applyAlignment="1" pivotButton="0" quotePrefix="0" xfId="0">
      <alignment horizontal="center" vertical="center"/>
    </xf>
    <xf numFmtId="168" fontId="83" fillId="0" borderId="3" applyAlignment="1" pivotButton="0" quotePrefix="0" xfId="0">
      <alignment horizontal="center" vertical="center"/>
    </xf>
    <xf numFmtId="191" fontId="167" fillId="0" borderId="3" applyAlignment="1" pivotButton="0" quotePrefix="0" xfId="5">
      <alignment horizontal="center" vertical="center"/>
    </xf>
    <xf numFmtId="0" fontId="167" fillId="0" borderId="1" applyAlignment="1" pivotButton="0" quotePrefix="0" xfId="4">
      <alignment horizontal="center" vertical="center"/>
    </xf>
    <xf numFmtId="0" fontId="167" fillId="0" borderId="1" applyAlignment="1" pivotButton="0" quotePrefix="0" xfId="5">
      <alignment horizontal="center" vertical="center"/>
    </xf>
    <xf numFmtId="0" fontId="83" fillId="0" borderId="6" applyAlignment="1" pivotButton="0" quotePrefix="0" xfId="0">
      <alignment horizontal="center" vertical="center" shrinkToFit="1"/>
    </xf>
    <xf numFmtId="0" fontId="83" fillId="0" borderId="1" applyAlignment="1" pivotButton="0" quotePrefix="0" xfId="0">
      <alignment horizontal="center" vertical="center" shrinkToFit="1"/>
    </xf>
    <xf numFmtId="0" fontId="83" fillId="0" borderId="7" applyAlignment="1" pivotButton="0" quotePrefix="0" xfId="0">
      <alignment horizontal="center" vertical="center" shrinkToFit="1"/>
    </xf>
    <xf numFmtId="170" fontId="83" fillId="0" borderId="4" applyAlignment="1" pivotButton="0" quotePrefix="0" xfId="0">
      <alignment horizontal="center" vertical="center"/>
    </xf>
    <xf numFmtId="191" fontId="83" fillId="0" borderId="4" applyAlignment="1" pivotButton="0" quotePrefix="0" xfId="0">
      <alignment horizontal="center" vertical="center"/>
    </xf>
    <xf numFmtId="166" fontId="75" fillId="0" borderId="9" applyAlignment="1" pivotButton="0" quotePrefix="0" xfId="0">
      <alignment horizontal="center" vertical="center"/>
    </xf>
    <xf numFmtId="49" fontId="82" fillId="0" borderId="2" applyAlignment="1" pivotButton="0" quotePrefix="0" xfId="0">
      <alignment horizontal="center" vertical="center"/>
    </xf>
    <xf numFmtId="49" fontId="82" fillId="0" borderId="0" applyAlignment="1" pivotButton="0" quotePrefix="0" xfId="0">
      <alignment horizontal="center" vertical="center"/>
    </xf>
    <xf numFmtId="166" fontId="83" fillId="0" borderId="4" applyAlignment="1" pivotButton="0" quotePrefix="0" xfId="0">
      <alignment horizontal="center" vertical="center"/>
    </xf>
    <xf numFmtId="0" fontId="83" fillId="0" borderId="8" applyAlignment="1" pivotButton="0" quotePrefix="0" xfId="0">
      <alignment horizontal="center" vertical="center"/>
    </xf>
    <xf numFmtId="0" fontId="83" fillId="0" borderId="9" applyAlignment="1" pivotButton="0" quotePrefix="0" xfId="0">
      <alignment horizontal="center" vertical="center"/>
    </xf>
    <xf numFmtId="0" fontId="83" fillId="0" borderId="10" applyAlignment="1" pivotButton="0" quotePrefix="0" xfId="0">
      <alignment horizontal="center" vertical="center"/>
    </xf>
    <xf numFmtId="0" fontId="83" fillId="0" borderId="6" applyAlignment="1" pivotButton="0" quotePrefix="0" xfId="0">
      <alignment horizontal="center" vertical="center"/>
    </xf>
    <xf numFmtId="0" fontId="83" fillId="0" borderId="1" applyAlignment="1" pivotButton="0" quotePrefix="0" xfId="0">
      <alignment horizontal="center" vertical="center"/>
    </xf>
    <xf numFmtId="0" fontId="83" fillId="0" borderId="7" applyAlignment="1" pivotButton="0" quotePrefix="0" xfId="0">
      <alignment horizontal="center" vertical="center"/>
    </xf>
    <xf numFmtId="0" fontId="83" fillId="0" borderId="8" applyAlignment="1" pivotButton="0" quotePrefix="0" xfId="0">
      <alignment horizontal="center" vertical="center" shrinkToFit="1"/>
    </xf>
    <xf numFmtId="0" fontId="83" fillId="0" borderId="9" applyAlignment="1" pivotButton="0" quotePrefix="0" xfId="0">
      <alignment horizontal="center" vertical="center" shrinkToFit="1"/>
    </xf>
    <xf numFmtId="0" fontId="83" fillId="0" borderId="10" applyAlignment="1" pivotButton="0" quotePrefix="0" xfId="0">
      <alignment horizontal="center" vertical="center" shrinkToFit="1"/>
    </xf>
    <xf numFmtId="166" fontId="83" fillId="0" borderId="27" applyAlignment="1" pivotButton="0" quotePrefix="0" xfId="0">
      <alignment horizontal="center" vertical="center"/>
    </xf>
    <xf numFmtId="2" fontId="83" fillId="0" borderId="4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 shrinkToFit="1"/>
    </xf>
    <xf numFmtId="166" fontId="0" fillId="0" borderId="0" applyAlignment="1" pivotButton="0" quotePrefix="0" xfId="0">
      <alignment horizontal="center" vertical="center"/>
    </xf>
    <xf numFmtId="182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81" fillId="0" borderId="76" applyAlignment="1" pivotButton="0" quotePrefix="0" xfId="0">
      <alignment horizontal="center" vertical="center" shrinkToFit="1"/>
    </xf>
    <xf numFmtId="0" fontId="0" fillId="0" borderId="16" applyAlignment="1" pivotButton="0" quotePrefix="0" xfId="0">
      <alignment vertical="center"/>
    </xf>
    <xf numFmtId="0" fontId="81" fillId="0" borderId="6" applyAlignment="1" pivotButton="0" quotePrefix="0" xfId="0">
      <alignment horizontal="center" vertical="center" shrinkToFit="1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134" fillId="0" borderId="69" applyAlignment="1" pivotButton="0" quotePrefix="0" xfId="0">
      <alignment horizontal="left" vertical="center" wrapText="1" indent="2"/>
    </xf>
    <xf numFmtId="0" fontId="134" fillId="0" borderId="65" applyAlignment="1" pivotButton="0" quotePrefix="0" xfId="0">
      <alignment horizontal="left" vertical="center" wrapText="1" indent="2"/>
    </xf>
    <xf numFmtId="0" fontId="134" fillId="0" borderId="78" applyAlignment="1" pivotButton="0" quotePrefix="0" xfId="0">
      <alignment horizontal="left" vertical="center" wrapText="1" indent="2"/>
    </xf>
    <xf numFmtId="0" fontId="134" fillId="0" borderId="27" applyAlignment="1" pivotButton="0" quotePrefix="0" xfId="0">
      <alignment horizontal="left" vertical="center" wrapText="1" indent="2"/>
    </xf>
    <xf numFmtId="0" fontId="134" fillId="0" borderId="3" applyAlignment="1" pivotButton="0" quotePrefix="0" xfId="0">
      <alignment horizontal="left" vertical="center" wrapText="1" indent="2"/>
    </xf>
    <xf numFmtId="0" fontId="134" fillId="0" borderId="52" applyAlignment="1" pivotButton="0" quotePrefix="0" xfId="0">
      <alignment horizontal="left" vertical="center" wrapText="1" indent="2"/>
    </xf>
    <xf numFmtId="0" fontId="134" fillId="0" borderId="79" applyAlignment="1" pivotButton="0" quotePrefix="0" xfId="0">
      <alignment horizontal="left" vertical="center" wrapText="1" indent="2"/>
    </xf>
    <xf numFmtId="0" fontId="134" fillId="0" borderId="61" applyAlignment="1" pivotButton="0" quotePrefix="0" xfId="0">
      <alignment horizontal="left" vertical="center" wrapText="1" indent="2"/>
    </xf>
    <xf numFmtId="0" fontId="134" fillId="0" borderId="80" applyAlignment="1" pivotButton="0" quotePrefix="0" xfId="0">
      <alignment horizontal="left" vertical="center" wrapText="1" indent="2"/>
    </xf>
    <xf numFmtId="0" fontId="134" fillId="0" borderId="70" applyAlignment="1" pivotButton="0" quotePrefix="0" xfId="0">
      <alignment horizontal="left" vertical="center" wrapText="1" indent="2"/>
    </xf>
    <xf numFmtId="0" fontId="134" fillId="0" borderId="25" applyAlignment="1" pivotButton="0" quotePrefix="0" xfId="0">
      <alignment horizontal="left" vertical="center" wrapText="1" indent="2"/>
    </xf>
    <xf numFmtId="0" fontId="134" fillId="0" borderId="81" applyAlignment="1" pivotButton="0" quotePrefix="0" xfId="0">
      <alignment horizontal="left" vertical="center" wrapText="1" indent="2"/>
    </xf>
    <xf numFmtId="0" fontId="81" fillId="0" borderId="1" applyAlignment="1" pivotButton="0" quotePrefix="0" xfId="0">
      <alignment horizontal="center"/>
    </xf>
    <xf numFmtId="0" fontId="0" fillId="0" borderId="82" applyAlignment="1" pivotButton="0" quotePrefix="0" xfId="0">
      <alignment horizontal="center" vertical="center"/>
    </xf>
    <xf numFmtId="0" fontId="0" fillId="0" borderId="83" applyAlignment="1" pivotButton="0" quotePrefix="0" xfId="0">
      <alignment horizontal="center" vertical="center"/>
    </xf>
    <xf numFmtId="0" fontId="81" fillId="0" borderId="3" applyAlignment="1" pivotButton="0" quotePrefix="0" xfId="0">
      <alignment horizontal="center" vertical="center"/>
    </xf>
    <xf numFmtId="0" fontId="0" fillId="0" borderId="6" applyAlignment="1" pivotButton="0" quotePrefix="1" xfId="0">
      <alignment horizontal="center" vertical="center"/>
    </xf>
    <xf numFmtId="0" fontId="0" fillId="0" borderId="8" applyAlignment="1" pivotButton="0" quotePrefix="1" xfId="0">
      <alignment horizontal="center" vertical="center"/>
    </xf>
    <xf numFmtId="0" fontId="81" fillId="0" borderId="84" applyAlignment="1" pivotButton="0" quotePrefix="0" xfId="0">
      <alignment horizontal="center" vertical="center"/>
    </xf>
    <xf numFmtId="0" fontId="81" fillId="0" borderId="63" applyAlignment="1" pivotButton="0" quotePrefix="0" xfId="0">
      <alignment horizontal="center" vertical="center"/>
    </xf>
    <xf numFmtId="0" fontId="0" fillId="0" borderId="5" applyAlignment="1" pivotButton="0" quotePrefix="1" xfId="0">
      <alignment horizontal="center" vertical="center"/>
    </xf>
    <xf numFmtId="216" fontId="0" fillId="0" borderId="85" applyAlignment="1" pivotButton="0" quotePrefix="0" xfId="0">
      <alignment horizontal="center" vertical="center"/>
    </xf>
    <xf numFmtId="216" fontId="0" fillId="0" borderId="25" applyAlignment="1" pivotButton="0" quotePrefix="0" xfId="0">
      <alignment horizontal="center" vertical="center"/>
    </xf>
    <xf numFmtId="0" fontId="81" fillId="0" borderId="9" applyAlignment="1" pivotButton="0" quotePrefix="0" xfId="0">
      <alignment horizontal="center" vertical="top"/>
    </xf>
    <xf numFmtId="0" fontId="0" fillId="0" borderId="7" applyAlignment="1" pivotButton="0" quotePrefix="1" xfId="0">
      <alignment horizontal="center" vertical="center"/>
    </xf>
    <xf numFmtId="0" fontId="0" fillId="0" borderId="52" applyAlignment="1" pivotButton="0" quotePrefix="1" xfId="0">
      <alignment horizontal="center" vertical="center"/>
    </xf>
    <xf numFmtId="2" fontId="81" fillId="0" borderId="8" applyAlignment="1" pivotButton="0" quotePrefix="0" xfId="0">
      <alignment horizontal="center" vertical="center"/>
    </xf>
    <xf numFmtId="2" fontId="81" fillId="0" borderId="134" applyAlignment="1" pivotButton="0" quotePrefix="0" xfId="0">
      <alignment horizontal="center" vertical="center"/>
    </xf>
    <xf numFmtId="0" fontId="0" fillId="0" borderId="27" applyAlignment="1" pivotButton="0" quotePrefix="1" xfId="0">
      <alignment horizontal="center" vertical="center"/>
    </xf>
    <xf numFmtId="0" fontId="81" fillId="0" borderId="3" applyAlignment="1" pivotButton="0" quotePrefix="0" xfId="0">
      <alignment horizontal="center"/>
    </xf>
    <xf numFmtId="0" fontId="77" fillId="0" borderId="3" applyAlignment="1" pivotButton="0" quotePrefix="0" xfId="0">
      <alignment horizontal="center" vertical="center"/>
    </xf>
    <xf numFmtId="0" fontId="81" fillId="0" borderId="3" applyAlignment="1" pivotButton="0" quotePrefix="0" xfId="0">
      <alignment horizontal="center" vertical="top"/>
    </xf>
    <xf numFmtId="2" fontId="81" fillId="0" borderId="6" applyAlignment="1" pivotButton="0" quotePrefix="0" xfId="0">
      <alignment horizontal="center" vertical="center"/>
    </xf>
    <xf numFmtId="0" fontId="0" fillId="0" borderId="10" applyAlignment="1" pivotButton="0" quotePrefix="1" xfId="0">
      <alignment horizontal="center" vertical="center"/>
    </xf>
    <xf numFmtId="2" fontId="81" fillId="0" borderId="135" applyAlignment="1" pivotButton="0" quotePrefix="0" xfId="0">
      <alignment horizontal="center" vertical="center"/>
    </xf>
    <xf numFmtId="0" fontId="0" fillId="0" borderId="86" applyAlignment="1" pivotButton="0" quotePrefix="0" xfId="0">
      <alignment horizontal="center" vertical="center"/>
    </xf>
    <xf numFmtId="0" fontId="0" fillId="0" borderId="87" applyAlignment="1" pivotButton="0" quotePrefix="0" xfId="0">
      <alignment horizontal="center" vertical="center"/>
    </xf>
    <xf numFmtId="0" fontId="94" fillId="0" borderId="8" applyAlignment="1" pivotButton="0" quotePrefix="0" xfId="0">
      <alignment horizontal="center" vertical="center"/>
    </xf>
    <xf numFmtId="0" fontId="94" fillId="0" borderId="10" applyAlignment="1" pivotButton="0" quotePrefix="0" xfId="0">
      <alignment horizontal="center" vertical="center"/>
    </xf>
    <xf numFmtId="0" fontId="94" fillId="0" borderId="27" applyAlignment="1" pivotButton="0" quotePrefix="0" xfId="0">
      <alignment horizontal="center" vertical="center"/>
    </xf>
    <xf numFmtId="0" fontId="94" fillId="0" borderId="3" applyAlignment="1" pivotButton="0" quotePrefix="0" xfId="0">
      <alignment horizontal="center" vertical="center"/>
    </xf>
    <xf numFmtId="0" fontId="94" fillId="0" borderId="52" applyAlignment="1" pivotButton="0" quotePrefix="0" xfId="0">
      <alignment horizontal="center" vertical="center"/>
    </xf>
    <xf numFmtId="0" fontId="94" fillId="0" borderId="8" applyAlignment="1" pivotButton="0" quotePrefix="0" xfId="0">
      <alignment horizontal="right" vertical="center"/>
    </xf>
    <xf numFmtId="0" fontId="94" fillId="0" borderId="2" applyAlignment="1" pivotButton="0" quotePrefix="0" xfId="0">
      <alignment horizontal="right" vertical="center"/>
    </xf>
    <xf numFmtId="0" fontId="94" fillId="0" borderId="6" applyAlignment="1" pivotButton="0" quotePrefix="0" xfId="0">
      <alignment horizontal="right" vertical="center"/>
    </xf>
    <xf numFmtId="0" fontId="224" fillId="0" borderId="10" applyAlignment="1" pivotButton="0" quotePrefix="0" xfId="0">
      <alignment horizontal="center" vertical="center"/>
    </xf>
    <xf numFmtId="0" fontId="224" fillId="0" borderId="5" applyAlignment="1" pivotButton="0" quotePrefix="0" xfId="0">
      <alignment horizontal="center" vertical="center"/>
    </xf>
    <xf numFmtId="0" fontId="224" fillId="0" borderId="7" applyAlignment="1" pivotButton="0" quotePrefix="0" xfId="0">
      <alignment horizontal="center" vertical="center"/>
    </xf>
    <xf numFmtId="0" fontId="94" fillId="0" borderId="8" applyAlignment="1" pivotButton="0" quotePrefix="1" xfId="0">
      <alignment horizontal="center" vertical="center"/>
    </xf>
    <xf numFmtId="0" fontId="94" fillId="0" borderId="2" applyAlignment="1" pivotButton="0" quotePrefix="0" xfId="0">
      <alignment horizontal="center" vertical="center"/>
    </xf>
    <xf numFmtId="0" fontId="94" fillId="0" borderId="6" applyAlignment="1" pivotButton="0" quotePrefix="0" xfId="0">
      <alignment horizontal="center" vertical="center"/>
    </xf>
    <xf numFmtId="0" fontId="94" fillId="0" borderId="9" applyAlignment="1" pivotButton="0" quotePrefix="0" xfId="0">
      <alignment horizontal="center" vertical="center"/>
    </xf>
    <xf numFmtId="0" fontId="94" fillId="0" borderId="1" applyAlignment="1" pivotButton="0" quotePrefix="0" xfId="0">
      <alignment horizontal="center" vertical="center"/>
    </xf>
    <xf numFmtId="0" fontId="204" fillId="0" borderId="9" applyAlignment="1" pivotButton="0" quotePrefix="0" xfId="0">
      <alignment horizontal="center" vertical="center"/>
    </xf>
    <xf numFmtId="0" fontId="94" fillId="0" borderId="0" applyAlignment="1" pivotButton="0" quotePrefix="0" xfId="0">
      <alignment horizontal="center" vertical="center"/>
    </xf>
    <xf numFmtId="0" fontId="94" fillId="0" borderId="5" applyAlignment="1" pivotButton="0" quotePrefix="0" xfId="0">
      <alignment horizontal="center" vertical="center"/>
    </xf>
    <xf numFmtId="0" fontId="94" fillId="0" borderId="7" applyAlignment="1" pivotButton="0" quotePrefix="0" xfId="0">
      <alignment horizontal="center" vertical="center"/>
    </xf>
    <xf numFmtId="2" fontId="94" fillId="0" borderId="3" applyAlignment="1" pivotButton="0" quotePrefix="0" xfId="0">
      <alignment horizontal="center" vertical="center"/>
    </xf>
    <xf numFmtId="173" fontId="94" fillId="0" borderId="9" applyAlignment="1" pivotButton="0" quotePrefix="0" xfId="0">
      <alignment horizontal="center" vertical="center"/>
    </xf>
    <xf numFmtId="173" fontId="94" fillId="0" borderId="0" applyAlignment="1" pivotButton="0" quotePrefix="0" xfId="0">
      <alignment horizontal="center" vertical="center"/>
    </xf>
    <xf numFmtId="182" fontId="94" fillId="0" borderId="8" applyAlignment="1" pivotButton="0" quotePrefix="0" xfId="0">
      <alignment horizontal="left" vertical="center"/>
    </xf>
    <xf numFmtId="182" fontId="94" fillId="0" borderId="2" applyAlignment="1" pivotButton="0" quotePrefix="0" xfId="0">
      <alignment horizontal="left" vertical="center"/>
    </xf>
    <xf numFmtId="182" fontId="94" fillId="0" borderId="6" applyAlignment="1" pivotButton="0" quotePrefix="0" xfId="0">
      <alignment horizontal="left" vertical="center"/>
    </xf>
    <xf numFmtId="188" fontId="94" fillId="0" borderId="10" applyAlignment="1" pivotButton="0" quotePrefix="0" xfId="0">
      <alignment horizontal="center" vertical="center"/>
    </xf>
    <xf numFmtId="188" fontId="94" fillId="0" borderId="5" applyAlignment="1" pivotButton="0" quotePrefix="0" xfId="0">
      <alignment horizontal="center" vertical="center"/>
    </xf>
    <xf numFmtId="1" fontId="94" fillId="0" borderId="9" applyAlignment="1" pivotButton="0" quotePrefix="0" xfId="0">
      <alignment horizontal="center" vertical="center"/>
    </xf>
    <xf numFmtId="1" fontId="94" fillId="0" borderId="1" applyAlignment="1" pivotButton="0" quotePrefix="0" xfId="0">
      <alignment horizontal="center" vertical="center"/>
    </xf>
    <xf numFmtId="217" fontId="94" fillId="0" borderId="8" applyAlignment="1" pivotButton="0" quotePrefix="0" xfId="0">
      <alignment horizontal="left" vertical="center"/>
    </xf>
    <xf numFmtId="217" fontId="94" fillId="0" borderId="2" applyAlignment="1" pivotButton="0" quotePrefix="0" xfId="0">
      <alignment horizontal="left" vertical="center"/>
    </xf>
    <xf numFmtId="217" fontId="94" fillId="0" borderId="6" applyAlignment="1" pivotButton="0" quotePrefix="0" xfId="0">
      <alignment horizontal="left" vertical="center"/>
    </xf>
    <xf numFmtId="182" fontId="94" fillId="0" borderId="9" applyAlignment="1" pivotButton="0" quotePrefix="0" xfId="0">
      <alignment horizontal="center" vertical="center"/>
    </xf>
    <xf numFmtId="182" fontId="94" fillId="0" borderId="0" applyAlignment="1" pivotButton="0" quotePrefix="0" xfId="0">
      <alignment horizontal="center" vertical="center"/>
    </xf>
    <xf numFmtId="0" fontId="211" fillId="0" borderId="4" applyAlignment="1" pivotButton="0" quotePrefix="0" xfId="0">
      <alignment horizontal="center" vertical="center"/>
    </xf>
    <xf numFmtId="0" fontId="211" fillId="0" borderId="4" applyAlignment="1" pivotButton="0" quotePrefix="0" xfId="0">
      <alignment horizontal="left" vertical="center" wrapText="1"/>
    </xf>
    <xf numFmtId="0" fontId="211" fillId="0" borderId="4" applyAlignment="1" pivotButton="0" quotePrefix="0" xfId="0">
      <alignment horizontal="center" vertical="center" wrapText="1"/>
    </xf>
    <xf numFmtId="0" fontId="213" fillId="0" borderId="4" applyAlignment="1" pivotButton="0" quotePrefix="0" xfId="11">
      <alignment horizontal="center" vertical="center"/>
    </xf>
    <xf numFmtId="0" fontId="213" fillId="0" borderId="4" applyAlignment="1" pivotButton="0" quotePrefix="0" xfId="11">
      <alignment horizontal="left" vertical="center"/>
    </xf>
    <xf numFmtId="0" fontId="211" fillId="0" borderId="27" applyAlignment="1" pivotButton="0" quotePrefix="0" xfId="0">
      <alignment horizontal="left" vertical="center" wrapText="1"/>
    </xf>
    <xf numFmtId="0" fontId="211" fillId="0" borderId="3" applyAlignment="1" pivotButton="0" quotePrefix="0" xfId="0">
      <alignment horizontal="left" vertical="center" wrapText="1"/>
    </xf>
    <xf numFmtId="0" fontId="211" fillId="0" borderId="52" applyAlignment="1" pivotButton="0" quotePrefix="0" xfId="0">
      <alignment horizontal="left" vertical="center" wrapText="1"/>
    </xf>
    <xf numFmtId="0" fontId="213" fillId="0" borderId="4" applyAlignment="1" pivotButton="0" quotePrefix="0" xfId="0">
      <alignment horizontal="center" vertical="center"/>
    </xf>
    <xf numFmtId="0" fontId="211" fillId="0" borderId="8" applyAlignment="1" pivotButton="0" quotePrefix="0" xfId="0">
      <alignment horizontal="left" vertical="center" wrapText="1"/>
    </xf>
    <xf numFmtId="0" fontId="211" fillId="0" borderId="9" applyAlignment="1" pivotButton="0" quotePrefix="0" xfId="0">
      <alignment horizontal="left" vertical="center" wrapText="1"/>
    </xf>
    <xf numFmtId="0" fontId="211" fillId="0" borderId="10" applyAlignment="1" pivotButton="0" quotePrefix="0" xfId="0">
      <alignment horizontal="left" vertical="center" wrapText="1"/>
    </xf>
    <xf numFmtId="0" fontId="211" fillId="0" borderId="6" applyAlignment="1" pivotButton="0" quotePrefix="0" xfId="0">
      <alignment horizontal="left" vertical="center" wrapText="1"/>
    </xf>
    <xf numFmtId="0" fontId="211" fillId="0" borderId="1" applyAlignment="1" pivotButton="0" quotePrefix="0" xfId="0">
      <alignment horizontal="left" vertical="center" wrapText="1"/>
    </xf>
    <xf numFmtId="0" fontId="211" fillId="0" borderId="7" applyAlignment="1" pivotButton="0" quotePrefix="0" xfId="0">
      <alignment horizontal="left" vertical="center" wrapText="1"/>
    </xf>
    <xf numFmtId="0" fontId="213" fillId="0" borderId="91" applyAlignment="1" pivotButton="0" quotePrefix="0" xfId="0">
      <alignment horizontal="center" vertical="center"/>
    </xf>
    <xf numFmtId="0" fontId="213" fillId="0" borderId="98" applyAlignment="1" pivotButton="0" quotePrefix="0" xfId="0">
      <alignment horizontal="center" vertical="center"/>
    </xf>
    <xf numFmtId="0" fontId="213" fillId="0" borderId="89" applyAlignment="1" pivotButton="0" quotePrefix="0" xfId="0">
      <alignment horizontal="center" vertical="center"/>
    </xf>
    <xf numFmtId="0" fontId="0" fillId="0" borderId="9" applyAlignment="1" pivotButton="0" quotePrefix="1" xfId="0">
      <alignment horizontal="center" vertical="center"/>
    </xf>
    <xf numFmtId="0" fontId="0" fillId="0" borderId="1" applyAlignment="1" pivotButton="0" quotePrefix="1" xfId="0">
      <alignment horizontal="center" vertical="center"/>
    </xf>
    <xf numFmtId="0" fontId="0" fillId="0" borderId="199" applyAlignment="1" pivotButton="0" quotePrefix="1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0" fontId="213" fillId="0" borderId="0" applyAlignment="1" pivotButton="0" quotePrefix="0" xfId="0">
      <alignment horizontal="center" vertical="center" wrapText="1"/>
    </xf>
    <xf numFmtId="0" fontId="213" fillId="0" borderId="0" applyAlignment="1" pivotButton="0" quotePrefix="0" xfId="0">
      <alignment horizontal="center" vertical="center"/>
    </xf>
    <xf numFmtId="0" fontId="221" fillId="0" borderId="0" applyAlignment="1" pivotButton="0" quotePrefix="0" xfId="0">
      <alignment horizontal="center" vertical="center" wrapText="1"/>
    </xf>
    <xf numFmtId="0" fontId="221" fillId="0" borderId="0" applyAlignment="1" pivotButton="0" quotePrefix="0" xfId="0">
      <alignment horizontal="left" vertical="center" wrapText="1"/>
    </xf>
    <xf numFmtId="49" fontId="0" fillId="0" borderId="83" applyAlignment="1" pivotButton="0" quotePrefix="0" xfId="0">
      <alignment horizontal="center" vertical="center" shrinkToFit="1"/>
    </xf>
    <xf numFmtId="49" fontId="0" fillId="0" borderId="197" applyAlignment="1" pivotButton="0" quotePrefix="0" xfId="0">
      <alignment horizontal="center" vertical="center" shrinkToFit="1"/>
    </xf>
    <xf numFmtId="49" fontId="0" fillId="0" borderId="198" applyAlignment="1" pivotButton="0" quotePrefix="0" xfId="0">
      <alignment horizontal="center" vertical="center" shrinkToFit="1"/>
    </xf>
    <xf numFmtId="182" fontId="0" fillId="0" borderId="7" applyAlignment="1" pivotButton="0" quotePrefix="1" xfId="0">
      <alignment horizontal="center" vertical="center"/>
    </xf>
    <xf numFmtId="182" fontId="0" fillId="0" borderId="10" applyAlignment="1" pivotButton="0" quotePrefix="0" xfId="0">
      <alignment horizontal="center" vertical="center"/>
    </xf>
    <xf numFmtId="0" fontId="81" fillId="0" borderId="61" applyAlignment="1" pivotButton="0" quotePrefix="0" xfId="0">
      <alignment horizontal="center"/>
    </xf>
    <xf numFmtId="0" fontId="0" fillId="0" borderId="80" applyAlignment="1" pivotButton="0" quotePrefix="1" xfId="0">
      <alignment horizontal="center" vertical="center"/>
    </xf>
    <xf numFmtId="0" fontId="77" fillId="0" borderId="199" applyAlignment="1" pivotButton="0" quotePrefix="0" xfId="0">
      <alignment horizontal="center" vertical="center"/>
    </xf>
    <xf numFmtId="0" fontId="81" fillId="0" borderId="61" applyAlignment="1" pivotButton="0" quotePrefix="0" xfId="0">
      <alignment horizontal="center" vertical="center"/>
    </xf>
    <xf numFmtId="0" fontId="77" fillId="0" borderId="61" applyAlignment="1" pivotButton="0" quotePrefix="0" xfId="0">
      <alignment horizontal="center" vertical="center"/>
    </xf>
    <xf numFmtId="0" fontId="81" fillId="0" borderId="199" applyAlignment="1" pivotButton="0" quotePrefix="0" xfId="0">
      <alignment horizontal="center" vertical="center"/>
    </xf>
    <xf numFmtId="0" fontId="0" fillId="0" borderId="79" applyAlignment="1" pivotButton="0" quotePrefix="1" xfId="0">
      <alignment horizontal="center" vertical="center"/>
    </xf>
    <xf numFmtId="0" fontId="77" fillId="0" borderId="9" applyAlignment="1" pivotButton="0" quotePrefix="0" xfId="0">
      <alignment horizontal="center" vertical="center"/>
    </xf>
    <xf numFmtId="182" fontId="0" fillId="0" borderId="4" applyAlignment="1" pivotButton="0" quotePrefix="1" xfId="0">
      <alignment horizontal="center" vertical="center"/>
    </xf>
    <xf numFmtId="182" fontId="0" fillId="0" borderId="4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81" fillId="0" borderId="52" applyAlignment="1" pivotButton="0" quotePrefix="0" xfId="0">
      <alignment horizontal="center" vertical="center"/>
    </xf>
    <xf numFmtId="0" fontId="81" fillId="0" borderId="202" applyAlignment="1" pivotButton="0" quotePrefix="0" xfId="0">
      <alignment horizontal="center" vertical="center"/>
    </xf>
    <xf numFmtId="0" fontId="81" fillId="0" borderId="203" applyAlignment="1" pivotButton="0" quotePrefix="0" xfId="0">
      <alignment horizontal="center" vertical="center"/>
    </xf>
    <xf numFmtId="0" fontId="0" fillId="0" borderId="204" applyAlignment="1" pivotButton="0" quotePrefix="1" xfId="0">
      <alignment horizontal="center" vertical="center"/>
    </xf>
    <xf numFmtId="0" fontId="0" fillId="0" borderId="203" applyAlignment="1" pivotButton="0" quotePrefix="1" xfId="0">
      <alignment horizontal="center" vertical="center"/>
    </xf>
    <xf numFmtId="0" fontId="0" fillId="0" borderId="205" applyAlignment="1" pivotButton="0" quotePrefix="0" xfId="0">
      <alignment horizontal="center" vertical="center"/>
    </xf>
    <xf numFmtId="0" fontId="81" fillId="0" borderId="205" applyAlignment="1" pivotButton="0" quotePrefix="0" xfId="0">
      <alignment horizontal="center" vertical="top"/>
    </xf>
    <xf numFmtId="0" fontId="81" fillId="0" borderId="205" applyAlignment="1" pivotButton="0" quotePrefix="0" xfId="0">
      <alignment horizontal="center" vertical="center"/>
    </xf>
    <xf numFmtId="0" fontId="77" fillId="0" borderId="205" applyAlignment="1" pivotButton="0" quotePrefix="0" xfId="0">
      <alignment horizontal="center" vertical="center"/>
    </xf>
    <xf numFmtId="0" fontId="81" fillId="0" borderId="67" applyAlignment="1" pivotButton="0" quotePrefix="0" xfId="0">
      <alignment horizontal="center" vertical="center"/>
    </xf>
    <xf numFmtId="0" fontId="77" fillId="0" borderId="67" applyAlignment="1" pivotButton="0" quotePrefix="0" xfId="0">
      <alignment horizontal="center" vertical="center"/>
    </xf>
    <xf numFmtId="0" fontId="0" fillId="0" borderId="203" applyAlignment="1" pivotButton="0" quotePrefix="0" xfId="0">
      <alignment horizontal="center" vertical="center"/>
    </xf>
    <xf numFmtId="0" fontId="215" fillId="0" borderId="204" applyAlignment="1" pivotButton="0" quotePrefix="0" xfId="0">
      <alignment vertical="center" wrapText="1"/>
    </xf>
    <xf numFmtId="0" fontId="215" fillId="0" borderId="205" applyAlignment="1" pivotButton="0" quotePrefix="0" xfId="0">
      <alignment vertical="center" wrapText="1"/>
    </xf>
    <xf numFmtId="0" fontId="215" fillId="0" borderId="203" applyAlignment="1" pivotButton="0" quotePrefix="0" xfId="0">
      <alignment vertical="center" wrapText="1"/>
    </xf>
    <xf numFmtId="0" fontId="215" fillId="0" borderId="90" applyAlignment="1" pivotButton="0" quotePrefix="0" xfId="0">
      <alignment horizontal="left" vertical="center" wrapText="1" indent="2"/>
    </xf>
    <xf numFmtId="0" fontId="215" fillId="0" borderId="90" applyAlignment="1" pivotButton="0" quotePrefix="0" xfId="0">
      <alignment vertical="center" wrapText="1"/>
    </xf>
    <xf numFmtId="0" fontId="81" fillId="0" borderId="200" applyAlignment="1" pivotButton="0" quotePrefix="0" xfId="0">
      <alignment horizontal="center" vertical="center"/>
    </xf>
    <xf numFmtId="0" fontId="81" fillId="0" borderId="201" applyAlignment="1" pivotButton="0" quotePrefix="0" xfId="0">
      <alignment horizontal="center" vertical="center"/>
    </xf>
    <xf numFmtId="0" fontId="81" fillId="0" borderId="37" applyAlignment="1" pivotButton="0" quotePrefix="0" xfId="0">
      <alignment horizontal="center" vertical="center"/>
    </xf>
    <xf numFmtId="0" fontId="215" fillId="0" borderId="89" applyAlignment="1" pivotButton="0" quotePrefix="0" xfId="0">
      <alignment vertical="center" wrapText="1"/>
    </xf>
    <xf numFmtId="0" fontId="217" fillId="0" borderId="89" applyAlignment="1" pivotButton="0" quotePrefix="0" xfId="0">
      <alignment vertical="center" wrapText="1"/>
    </xf>
    <xf numFmtId="0" fontId="217" fillId="0" borderId="4" applyAlignment="1" pivotButton="0" quotePrefix="0" xfId="0">
      <alignment vertical="center" wrapText="1"/>
    </xf>
    <xf numFmtId="0" fontId="215" fillId="0" borderId="4" applyAlignment="1" pivotButton="0" quotePrefix="0" xfId="0">
      <alignment vertical="center" wrapText="1"/>
    </xf>
    <xf numFmtId="182" fontId="0" fillId="0" borderId="90" applyAlignment="1" pivotButton="0" quotePrefix="0" xfId="0">
      <alignment horizontal="center" vertical="center"/>
    </xf>
    <xf numFmtId="0" fontId="203" fillId="0" borderId="2" applyAlignment="1" pivotButton="0" quotePrefix="0" xfId="0">
      <alignment horizontal="center" vertical="center"/>
    </xf>
    <xf numFmtId="0" fontId="0" fillId="0" borderId="67" applyAlignment="1" pivotButton="0" quotePrefix="1" xfId="0">
      <alignment horizontal="center" vertical="center"/>
    </xf>
    <xf numFmtId="0" fontId="253" fillId="0" borderId="49" applyAlignment="1" pivotButton="0" quotePrefix="0" xfId="19">
      <alignment horizontal="center" vertical="center"/>
    </xf>
    <xf numFmtId="0" fontId="253" fillId="0" borderId="51" applyAlignment="1" pivotButton="0" quotePrefix="0" xfId="19">
      <alignment horizontal="center" vertical="center"/>
    </xf>
    <xf numFmtId="0" fontId="253" fillId="0" borderId="50" applyAlignment="1" pivotButton="0" quotePrefix="0" xfId="19">
      <alignment horizontal="center" vertical="center"/>
    </xf>
    <xf numFmtId="0" fontId="109" fillId="0" borderId="0" applyAlignment="1" pivotButton="0" quotePrefix="0" xfId="19">
      <alignment horizontal="center" vertical="center"/>
    </xf>
    <xf numFmtId="0" fontId="247" fillId="0" borderId="0" applyAlignment="1" pivotButton="0" quotePrefix="0" xfId="19">
      <alignment horizontal="left" vertical="center"/>
    </xf>
    <xf numFmtId="0" fontId="184" fillId="0" borderId="0" applyAlignment="1" pivotButton="0" quotePrefix="0" xfId="19">
      <alignment horizontal="center" vertical="center"/>
    </xf>
    <xf numFmtId="14" fontId="251" fillId="0" borderId="0" applyAlignment="1" pivotButton="0" quotePrefix="0" xfId="19">
      <alignment horizontal="left" vertical="center"/>
    </xf>
    <xf numFmtId="0" fontId="252" fillId="0" borderId="0" applyAlignment="1" pivotButton="0" quotePrefix="0" xfId="19">
      <alignment horizontal="center" vertical="center"/>
    </xf>
    <xf numFmtId="0" fontId="252" fillId="0" borderId="267" applyAlignment="1" pivotButton="0" quotePrefix="0" xfId="19">
      <alignment horizontal="center" vertical="center"/>
    </xf>
    <xf numFmtId="0" fontId="252" fillId="0" borderId="268" applyAlignment="1" pivotButton="0" quotePrefix="0" xfId="19">
      <alignment horizontal="center" vertical="center"/>
    </xf>
    <xf numFmtId="0" fontId="252" fillId="0" borderId="269" applyAlignment="1" pivotButton="0" quotePrefix="0" xfId="19">
      <alignment horizontal="center" vertical="center"/>
    </xf>
    <xf numFmtId="0" fontId="248" fillId="0" borderId="0" applyAlignment="1" pivotButton="0" quotePrefix="0" xfId="19">
      <alignment horizontal="left" vertical="center"/>
    </xf>
    <xf numFmtId="14" fontId="248" fillId="0" borderId="0" applyAlignment="1" pivotButton="0" quotePrefix="0" xfId="19">
      <alignment horizontal="left" vertical="center"/>
    </xf>
    <xf numFmtId="0" fontId="244" fillId="0" borderId="259" applyAlignment="1" pivotButton="0" quotePrefix="0" xfId="0">
      <alignment horizontal="right" vertical="center" wrapText="1"/>
    </xf>
    <xf numFmtId="0" fontId="244" fillId="0" borderId="260" applyAlignment="1" pivotButton="0" quotePrefix="0" xfId="0">
      <alignment horizontal="right" vertical="center" wrapText="1"/>
    </xf>
    <xf numFmtId="0" fontId="244" fillId="0" borderId="261" applyAlignment="1" pivotButton="0" quotePrefix="0" xfId="0">
      <alignment horizontal="right" vertical="center" wrapText="1"/>
    </xf>
    <xf numFmtId="0" fontId="100" fillId="0" borderId="37" applyAlignment="1" pivotButton="0" quotePrefix="0" xfId="0">
      <alignment horizontal="right" vertical="center" wrapText="1"/>
    </xf>
    <xf numFmtId="0" fontId="100" fillId="0" borderId="0" applyAlignment="1" pivotButton="0" quotePrefix="0" xfId="0">
      <alignment horizontal="right" vertical="center" wrapText="1"/>
    </xf>
    <xf numFmtId="0" fontId="240" fillId="0" borderId="0" applyAlignment="1" pivotButton="0" quotePrefix="0" xfId="0">
      <alignment horizontal="right" vertical="center" wrapText="1"/>
    </xf>
    <xf numFmtId="0" fontId="240" fillId="0" borderId="44" applyAlignment="1" pivotButton="0" quotePrefix="0" xfId="0">
      <alignment horizontal="right" vertical="center" wrapText="1"/>
    </xf>
    <xf numFmtId="0" fontId="242" fillId="0" borderId="37" applyAlignment="1" pivotButton="0" quotePrefix="0" xfId="0">
      <alignment horizontal="center" vertical="center" wrapText="1"/>
    </xf>
    <xf numFmtId="0" fontId="242" fillId="0" borderId="0" applyAlignment="1" pivotButton="0" quotePrefix="0" xfId="0">
      <alignment horizontal="center" vertical="center" wrapText="1"/>
    </xf>
    <xf numFmtId="0" fontId="100" fillId="0" borderId="0" applyAlignment="1" pivotButton="0" quotePrefix="0" xfId="0">
      <alignment horizontal="justify" vertical="center" wrapText="1"/>
    </xf>
    <xf numFmtId="0" fontId="100" fillId="0" borderId="44" applyAlignment="1" pivotButton="0" quotePrefix="0" xfId="0">
      <alignment horizontal="justify" vertical="center" wrapText="1"/>
    </xf>
    <xf numFmtId="0" fontId="100" fillId="0" borderId="257" applyAlignment="1" pivotButton="0" quotePrefix="0" xfId="0">
      <alignment horizontal="justify" vertical="center" wrapText="1"/>
    </xf>
    <xf numFmtId="0" fontId="100" fillId="0" borderId="258" applyAlignment="1" pivotButton="0" quotePrefix="0" xfId="0">
      <alignment horizontal="justify" vertical="center" wrapText="1"/>
    </xf>
    <xf numFmtId="0" fontId="242" fillId="0" borderId="256" applyAlignment="1" pivotButton="0" quotePrefix="0" xfId="0">
      <alignment horizontal="center" vertical="center" wrapText="1"/>
    </xf>
    <xf numFmtId="0" fontId="242" fillId="0" borderId="257" applyAlignment="1" pivotButton="0" quotePrefix="0" xfId="0">
      <alignment horizontal="center" vertical="center" wrapText="1"/>
    </xf>
    <xf numFmtId="0" fontId="100" fillId="0" borderId="232" applyAlignment="1" pivotButton="0" quotePrefix="0" xfId="0">
      <alignment horizontal="center" vertical="center" wrapText="1"/>
    </xf>
    <xf numFmtId="0" fontId="100" fillId="0" borderId="233" applyAlignment="1" pivotButton="0" quotePrefix="0" xfId="0">
      <alignment horizontal="center" vertical="center" wrapText="1"/>
    </xf>
    <xf numFmtId="0" fontId="100" fillId="0" borderId="234" applyAlignment="1" pivotButton="0" quotePrefix="0" xfId="0">
      <alignment horizontal="center" vertical="center" wrapText="1"/>
    </xf>
    <xf numFmtId="0" fontId="236" fillId="0" borderId="235" applyAlignment="1" pivotButton="0" quotePrefix="0" xfId="0">
      <alignment horizontal="center" vertical="center" wrapText="1"/>
    </xf>
    <xf numFmtId="0" fontId="236" fillId="0" borderId="233" applyAlignment="1" pivotButton="0" quotePrefix="0" xfId="0">
      <alignment horizontal="center" vertical="center" wrapText="1"/>
    </xf>
    <xf numFmtId="0" fontId="236" fillId="0" borderId="234" applyAlignment="1" pivotButton="0" quotePrefix="0" xfId="0">
      <alignment horizontal="center" vertical="center" wrapText="1"/>
    </xf>
    <xf numFmtId="0" fontId="100" fillId="0" borderId="235" applyAlignment="1" pivotButton="0" quotePrefix="0" xfId="0">
      <alignment horizontal="center" vertical="center" wrapText="1"/>
    </xf>
    <xf numFmtId="0" fontId="99" fillId="0" borderId="37" applyAlignment="1" pivotButton="0" quotePrefix="0" xfId="0">
      <alignment horizontal="right" vertical="center" wrapText="1"/>
    </xf>
    <xf numFmtId="0" fontId="99" fillId="0" borderId="0" applyAlignment="1" pivotButton="0" quotePrefix="0" xfId="0">
      <alignment horizontal="right" vertical="center" wrapText="1"/>
    </xf>
    <xf numFmtId="0" fontId="99" fillId="0" borderId="44" applyAlignment="1" pivotButton="0" quotePrefix="0" xfId="0">
      <alignment horizontal="right" vertical="center" wrapText="1"/>
    </xf>
    <xf numFmtId="0" fontId="100" fillId="0" borderId="206" applyAlignment="1" pivotButton="0" quotePrefix="0" xfId="0">
      <alignment horizontal="center" vertical="center" wrapText="1"/>
    </xf>
    <xf numFmtId="0" fontId="100" fillId="0" borderId="206" applyAlignment="1" pivotButton="0" quotePrefix="0" xfId="0">
      <alignment horizontal="center" vertical="center"/>
    </xf>
    <xf numFmtId="0" fontId="238" fillId="0" borderId="37" applyAlignment="1" pivotButton="0" quotePrefix="0" xfId="0">
      <alignment horizontal="center" vertical="center" wrapText="1"/>
    </xf>
    <xf numFmtId="0" fontId="238" fillId="0" borderId="244" applyAlignment="1" pivotButton="0" quotePrefix="0" xfId="0">
      <alignment horizontal="center" vertical="center" wrapText="1"/>
    </xf>
    <xf numFmtId="0" fontId="238" fillId="0" borderId="210" applyAlignment="1" pivotButton="0" quotePrefix="0" xfId="0">
      <alignment horizontal="center" vertical="center" wrapText="1"/>
    </xf>
    <xf numFmtId="0" fontId="238" fillId="0" borderId="253" applyAlignment="1" pivotButton="0" quotePrefix="0" xfId="0">
      <alignment horizontal="center" vertical="center" wrapText="1"/>
    </xf>
    <xf numFmtId="0" fontId="100" fillId="0" borderId="249" applyAlignment="1" pivotButton="0" quotePrefix="0" xfId="0">
      <alignment horizontal="center" vertical="center" wrapText="1"/>
    </xf>
    <xf numFmtId="0" fontId="100" fillId="0" borderId="245" applyAlignment="1" pivotButton="0" quotePrefix="0" xfId="0">
      <alignment horizontal="center" vertical="center" wrapText="1"/>
    </xf>
    <xf numFmtId="0" fontId="100" fillId="0" borderId="254" applyAlignment="1" pivotButton="0" quotePrefix="0" xfId="0">
      <alignment horizontal="center" vertical="center" wrapText="1"/>
    </xf>
    <xf numFmtId="0" fontId="100" fillId="0" borderId="240" applyAlignment="1" pivotButton="0" quotePrefix="0" xfId="0">
      <alignment horizontal="justify" vertical="center" wrapText="1"/>
    </xf>
    <xf numFmtId="0" fontId="100" fillId="0" borderId="215" applyAlignment="1" pivotButton="0" quotePrefix="0" xfId="0">
      <alignment horizontal="justify" vertical="center" wrapText="1"/>
    </xf>
    <xf numFmtId="0" fontId="100" fillId="0" borderId="217" applyAlignment="1" pivotButton="0" quotePrefix="0" xfId="0">
      <alignment horizontal="justify" vertical="center" wrapText="1"/>
    </xf>
    <xf numFmtId="0" fontId="100" fillId="0" borderId="37" applyAlignment="1" pivotButton="0" quotePrefix="0" xfId="0">
      <alignment horizontal="justify" vertical="center" wrapText="1"/>
    </xf>
    <xf numFmtId="0" fontId="100" fillId="0" borderId="237" applyAlignment="1" pivotButton="0" quotePrefix="0" xfId="0">
      <alignment horizontal="center" vertical="center" wrapText="1"/>
    </xf>
    <xf numFmtId="0" fontId="100" fillId="0" borderId="238" applyAlignment="1" pivotButton="0" quotePrefix="0" xfId="0">
      <alignment horizontal="center" vertical="center" wrapText="1"/>
    </xf>
    <xf numFmtId="0" fontId="100" fillId="0" borderId="215" applyAlignment="1" pivotButton="0" quotePrefix="0" xfId="0">
      <alignment horizontal="center" vertical="center" wrapText="1"/>
    </xf>
    <xf numFmtId="0" fontId="100" fillId="0" borderId="239" applyAlignment="1" pivotButton="0" quotePrefix="0" xfId="0">
      <alignment horizontal="center" vertical="center" wrapText="1"/>
    </xf>
    <xf numFmtId="0" fontId="101" fillId="0" borderId="240" applyAlignment="1" pivotButton="0" quotePrefix="0" xfId="0">
      <alignment horizontal="center" vertical="center" wrapText="1"/>
    </xf>
    <xf numFmtId="0" fontId="101" fillId="0" borderId="241" applyAlignment="1" pivotButton="0" quotePrefix="0" xfId="0">
      <alignment horizontal="center" vertical="center" wrapText="1"/>
    </xf>
    <xf numFmtId="0" fontId="101" fillId="0" borderId="37" applyAlignment="1" pivotButton="0" quotePrefix="0" xfId="0">
      <alignment horizontal="center" vertical="center" wrapText="1"/>
    </xf>
    <xf numFmtId="0" fontId="101" fillId="0" borderId="244" applyAlignment="1" pivotButton="0" quotePrefix="0" xfId="0">
      <alignment horizontal="center" vertical="center" wrapText="1"/>
    </xf>
    <xf numFmtId="0" fontId="100" fillId="0" borderId="242" applyAlignment="1" pivotButton="0" quotePrefix="0" xfId="0">
      <alignment horizontal="center" vertical="center" wrapText="1"/>
    </xf>
    <xf numFmtId="0" fontId="100" fillId="0" borderId="250" applyAlignment="1" pivotButton="0" quotePrefix="0" xfId="0">
      <alignment horizontal="center" vertical="center" wrapText="1"/>
    </xf>
    <xf numFmtId="0" fontId="100" fillId="0" borderId="243" applyAlignment="1" pivotButton="0" quotePrefix="0" xfId="0">
      <alignment horizontal="center" vertical="center" wrapText="1"/>
    </xf>
    <xf numFmtId="0" fontId="100" fillId="0" borderId="241" applyAlignment="1" pivotButton="0" quotePrefix="0" xfId="0">
      <alignment horizontal="center" vertical="center" wrapText="1"/>
    </xf>
    <xf numFmtId="0" fontId="237" fillId="0" borderId="246" applyAlignment="1" pivotButton="0" quotePrefix="0" xfId="0">
      <alignment horizontal="center" vertical="center" wrapText="1"/>
    </xf>
    <xf numFmtId="0" fontId="237" fillId="0" borderId="244" applyAlignment="1" pivotButton="0" quotePrefix="0" xfId="0">
      <alignment horizontal="center" vertical="center" wrapText="1"/>
    </xf>
    <xf numFmtId="0" fontId="237" fillId="0" borderId="247" applyAlignment="1" pivotButton="0" quotePrefix="0" xfId="0">
      <alignment horizontal="center" vertical="center" wrapText="1"/>
    </xf>
    <xf numFmtId="0" fontId="237" fillId="0" borderId="248" applyAlignment="1" pivotButton="0" quotePrefix="0" xfId="0">
      <alignment horizontal="center" vertical="center" wrapText="1"/>
    </xf>
    <xf numFmtId="0" fontId="100" fillId="0" borderId="264" applyAlignment="1" pivotButton="0" quotePrefix="0" xfId="0">
      <alignment horizontal="center" vertical="center" wrapText="1"/>
    </xf>
    <xf numFmtId="0" fontId="100" fillId="0" borderId="236" applyAlignment="1" pivotButton="0" quotePrefix="0" xfId="0">
      <alignment horizontal="center" vertical="center" wrapText="1"/>
    </xf>
    <xf numFmtId="0" fontId="103" fillId="0" borderId="207" applyAlignment="1" pivotButton="0" quotePrefix="0" xfId="0">
      <alignment horizontal="justify" vertical="center" wrapText="1"/>
    </xf>
    <xf numFmtId="0" fontId="103" fillId="0" borderId="208" applyAlignment="1" pivotButton="0" quotePrefix="0" xfId="0">
      <alignment horizontal="justify" vertical="center" wrapText="1"/>
    </xf>
    <xf numFmtId="0" fontId="103" fillId="0" borderId="209" applyAlignment="1" pivotButton="0" quotePrefix="0" xfId="0">
      <alignment horizontal="justify" vertical="center" wrapText="1"/>
    </xf>
    <xf numFmtId="0" fontId="95" fillId="0" borderId="210" applyAlignment="1" pivotButton="0" quotePrefix="0" xfId="0">
      <alignment horizontal="center" vertical="center" wrapText="1"/>
    </xf>
    <xf numFmtId="0" fontId="95" fillId="0" borderId="211" applyAlignment="1" pivotButton="0" quotePrefix="0" xfId="0">
      <alignment horizontal="center" vertical="center" wrapText="1"/>
    </xf>
    <xf numFmtId="0" fontId="95" fillId="0" borderId="212" applyAlignment="1" pivotButton="0" quotePrefix="0" xfId="0">
      <alignment horizontal="center" vertical="center" wrapText="1"/>
    </xf>
    <xf numFmtId="0" fontId="100" fillId="0" borderId="213" applyAlignment="1" pivotButton="0" quotePrefix="0" xfId="0">
      <alignment horizontal="center" vertical="center" wrapText="1"/>
    </xf>
    <xf numFmtId="0" fontId="100" fillId="0" borderId="218" applyAlignment="1" pivotButton="0" quotePrefix="0" xfId="0">
      <alignment horizontal="center" vertical="center" wrapText="1"/>
    </xf>
    <xf numFmtId="0" fontId="100" fillId="0" borderId="227" applyAlignment="1" pivotButton="0" quotePrefix="0" xfId="0">
      <alignment horizontal="center" vertical="center" wrapText="1"/>
    </xf>
    <xf numFmtId="0" fontId="100" fillId="0" borderId="214" applyAlignment="1" pivotButton="0" quotePrefix="0" xfId="0">
      <alignment horizontal="center" vertical="center" wrapText="1"/>
    </xf>
    <xf numFmtId="0" fontId="100" fillId="0" borderId="216" applyAlignment="1" pivotButton="0" quotePrefix="0" xfId="0">
      <alignment horizontal="center" vertical="center" wrapText="1"/>
    </xf>
    <xf numFmtId="0" fontId="100" fillId="0" borderId="217" applyAlignment="1" pivotButton="0" quotePrefix="0" xfId="0">
      <alignment horizontal="center" vertical="center" wrapText="1"/>
    </xf>
    <xf numFmtId="0" fontId="100" fillId="0" borderId="219" applyAlignment="1" pivotButton="0" quotePrefix="0" xfId="0">
      <alignment horizontal="center" vertical="center" wrapText="1"/>
    </xf>
    <xf numFmtId="0" fontId="100" fillId="0" borderId="220" applyAlignment="1" pivotButton="0" quotePrefix="0" xfId="0">
      <alignment horizontal="center" vertical="center" wrapText="1"/>
    </xf>
    <xf numFmtId="0" fontId="100" fillId="0" borderId="222" applyAlignment="1" pivotButton="0" quotePrefix="0" xfId="0">
      <alignment horizontal="center" vertical="center" wrapText="1"/>
    </xf>
    <xf numFmtId="0" fontId="236" fillId="0" borderId="219" applyAlignment="1" pivotButton="0" quotePrefix="0" xfId="0">
      <alignment horizontal="center" vertical="center" wrapText="1"/>
    </xf>
    <xf numFmtId="0" fontId="236" fillId="0" borderId="220" applyAlignment="1" pivotButton="0" quotePrefix="0" xfId="0">
      <alignment horizontal="center" vertical="center" wrapText="1"/>
    </xf>
    <xf numFmtId="0" fontId="236" fillId="0" borderId="221" applyAlignment="1" pivotButton="0" quotePrefix="0" xfId="0">
      <alignment horizontal="center" vertical="center" wrapText="1"/>
    </xf>
    <xf numFmtId="0" fontId="100" fillId="0" borderId="223" applyAlignment="1" pivotButton="0" quotePrefix="0" xfId="0">
      <alignment horizontal="center" vertical="center" wrapText="1"/>
    </xf>
    <xf numFmtId="0" fontId="100" fillId="0" borderId="224" applyAlignment="1" pivotButton="0" quotePrefix="0" xfId="0">
      <alignment horizontal="center" vertical="center" wrapText="1"/>
    </xf>
    <xf numFmtId="0" fontId="100" fillId="0" borderId="225" applyAlignment="1" pivotButton="0" quotePrefix="0" xfId="0">
      <alignment horizontal="center" vertical="center" wrapText="1"/>
    </xf>
    <xf numFmtId="0" fontId="100" fillId="0" borderId="221" applyAlignment="1" pivotButton="0" quotePrefix="0" xfId="0">
      <alignment horizontal="center" vertical="center" wrapText="1"/>
    </xf>
    <xf numFmtId="0" fontId="100" fillId="0" borderId="226" applyAlignment="1" pivotButton="0" quotePrefix="0" xfId="0">
      <alignment horizontal="center" vertical="center" wrapText="1"/>
    </xf>
    <xf numFmtId="0" fontId="100" fillId="0" borderId="228" applyAlignment="1" pivotButton="0" quotePrefix="0" xfId="0">
      <alignment horizontal="center" vertical="center" wrapText="1"/>
    </xf>
    <xf numFmtId="0" fontId="100" fillId="0" borderId="229" applyAlignment="1" pivotButton="0" quotePrefix="0" xfId="0">
      <alignment horizontal="center" vertical="center" wrapText="1"/>
    </xf>
    <xf numFmtId="0" fontId="100" fillId="0" borderId="230" applyAlignment="1" pivotButton="0" quotePrefix="0" xfId="0">
      <alignment horizontal="center" vertical="center" wrapText="1"/>
    </xf>
    <xf numFmtId="0" fontId="100" fillId="0" borderId="231" applyAlignment="1" pivotButton="0" quotePrefix="0" xfId="0">
      <alignment horizontal="center" vertical="center" wrapText="1"/>
    </xf>
    <xf numFmtId="0" fontId="100" fillId="0" borderId="265" applyAlignment="1" pivotButton="0" quotePrefix="0" xfId="0">
      <alignment horizontal="center" vertical="center" wrapText="1"/>
    </xf>
    <xf numFmtId="0" fontId="82" fillId="0" borderId="206" applyAlignment="1" pivotButton="0" quotePrefix="0" xfId="0">
      <alignment horizontal="center" vertical="center"/>
    </xf>
    <xf numFmtId="0" fontId="100" fillId="0" borderId="251" applyAlignment="1" pivotButton="0" quotePrefix="0" xfId="0">
      <alignment horizontal="center" vertical="center" wrapText="1"/>
    </xf>
    <xf numFmtId="0" fontId="100" fillId="0" borderId="252" applyAlignment="1" pivotButton="0" quotePrefix="0" xfId="0">
      <alignment horizontal="center" vertical="center" wrapText="1"/>
    </xf>
    <xf numFmtId="0" fontId="100" fillId="0" borderId="247" applyAlignment="1" pivotButton="0" quotePrefix="0" xfId="0">
      <alignment horizontal="center" vertical="center" wrapText="1"/>
    </xf>
    <xf numFmtId="0" fontId="100" fillId="0" borderId="248" applyAlignment="1" pivotButton="0" quotePrefix="0" xfId="0">
      <alignment horizontal="center" vertical="center" wrapText="1"/>
    </xf>
    <xf numFmtId="0" fontId="237" fillId="0" borderId="44" applyAlignment="1" pivotButton="0" quotePrefix="0" xfId="0">
      <alignment horizontal="center" vertical="center" wrapText="1"/>
    </xf>
    <xf numFmtId="0" fontId="237" fillId="0" borderId="262" applyAlignment="1" pivotButton="0" quotePrefix="0" xfId="0">
      <alignment horizontal="center" vertical="center" wrapText="1"/>
    </xf>
    <xf numFmtId="0" fontId="100" fillId="0" borderId="263" applyAlignment="1" pivotButton="0" quotePrefix="0" xfId="0">
      <alignment horizontal="center" vertical="center" wrapText="1"/>
    </xf>
    <xf numFmtId="0" fontId="100" fillId="0" borderId="262" applyAlignment="1" pivotButton="0" quotePrefix="0" xfId="0">
      <alignment horizontal="center" vertical="center" wrapText="1"/>
    </xf>
    <xf numFmtId="0" fontId="100" fillId="0" borderId="255" applyAlignment="1" pivotButton="0" quotePrefix="0" xfId="0">
      <alignment horizontal="center" vertical="center" wrapText="1"/>
    </xf>
    <xf numFmtId="0" fontId="100" fillId="0" borderId="212" applyAlignment="1" pivotButton="0" quotePrefix="0" xfId="0">
      <alignment horizontal="center" vertical="center" wrapText="1"/>
    </xf>
    <xf numFmtId="0" fontId="100" fillId="0" borderId="253" applyAlignment="1" pivotButton="0" quotePrefix="0" xfId="0">
      <alignment horizontal="center" vertical="center" wrapText="1"/>
    </xf>
    <xf numFmtId="218" fontId="42" fillId="0" borderId="147" applyAlignment="1" pivotButton="0" quotePrefix="0" xfId="4">
      <alignment horizontal="center" vertical="center" shrinkToFit="1"/>
    </xf>
    <xf numFmtId="218" fontId="42" fillId="0" borderId="149" applyAlignment="1" pivotButton="0" quotePrefix="0" xfId="4">
      <alignment horizontal="center" vertical="center" shrinkToFit="1"/>
    </xf>
    <xf numFmtId="0" fontId="40" fillId="0" borderId="164" applyAlignment="1" pivotButton="0" quotePrefix="0" xfId="4">
      <alignment horizontal="center" vertical="center" shrinkToFit="1"/>
    </xf>
    <xf numFmtId="0" fontId="38" fillId="0" borderId="179" applyAlignment="1" pivotButton="0" quotePrefix="0" xfId="4">
      <alignment horizontal="center" vertical="center" shrinkToFit="1"/>
    </xf>
    <xf numFmtId="184" fontId="207" fillId="0" borderId="152" applyAlignment="1" pivotButton="0" quotePrefix="0" xfId="4">
      <alignment horizontal="center" vertical="center" shrinkToFit="1"/>
    </xf>
    <xf numFmtId="184" fontId="207" fillId="0" borderId="153" applyAlignment="1" pivotButton="0" quotePrefix="0" xfId="4">
      <alignment horizontal="center" vertical="center" shrinkToFit="1"/>
    </xf>
    <xf numFmtId="184" fontId="207" fillId="0" borderId="154" applyAlignment="1" pivotButton="0" quotePrefix="0" xfId="4">
      <alignment horizontal="center" vertical="center" shrinkToFit="1"/>
    </xf>
    <xf numFmtId="181" fontId="43" fillId="0" borderId="193" applyAlignment="1" pivotButton="0" quotePrefix="0" xfId="4">
      <alignment horizontal="right" vertical="center" shrinkToFit="1"/>
    </xf>
    <xf numFmtId="181" fontId="43" fillId="0" borderId="153" applyAlignment="1" pivotButton="0" quotePrefix="0" xfId="4">
      <alignment horizontal="right" vertical="center" shrinkToFit="1"/>
    </xf>
    <xf numFmtId="181" fontId="43" fillId="0" borderId="154" applyAlignment="1" pivotButton="0" quotePrefix="0" xfId="4">
      <alignment horizontal="right" vertical="center" shrinkToFit="1"/>
    </xf>
    <xf numFmtId="181" fontId="43" fillId="0" borderId="181" applyAlignment="1" pivotButton="0" quotePrefix="0" xfId="4">
      <alignment horizontal="right" vertical="center" shrinkToFit="1"/>
    </xf>
    <xf numFmtId="0" fontId="40" fillId="0" borderId="181" applyAlignment="1" pivotButton="0" quotePrefix="0" xfId="4">
      <alignment horizontal="center" vertical="center" shrinkToFit="1"/>
    </xf>
    <xf numFmtId="0" fontId="40" fillId="0" borderId="194" applyAlignment="1" pivotButton="0" quotePrefix="0" xfId="4">
      <alignment horizontal="center" vertical="center" shrinkToFit="1"/>
    </xf>
    <xf numFmtId="0" fontId="208" fillId="0" borderId="157" applyAlignment="1" pivotButton="0" quotePrefix="0" xfId="4">
      <alignment horizontal="center" vertical="center" wrapText="1"/>
    </xf>
    <xf numFmtId="0" fontId="208" fillId="0" borderId="158" applyAlignment="1" pivotButton="0" quotePrefix="0" xfId="4">
      <alignment horizontal="center" vertical="center" wrapText="1"/>
    </xf>
    <xf numFmtId="0" fontId="208" fillId="0" borderId="180" applyAlignment="1" pivotButton="0" quotePrefix="0" xfId="4">
      <alignment horizontal="center" vertical="center" wrapText="1"/>
    </xf>
    <xf numFmtId="0" fontId="208" fillId="0" borderId="181" applyAlignment="1" pivotButton="0" quotePrefix="0" xfId="4">
      <alignment horizontal="center" vertical="center" wrapText="1"/>
    </xf>
    <xf numFmtId="219" fontId="40" fillId="0" borderId="159" applyAlignment="1" pivotButton="0" quotePrefix="0" xfId="4">
      <alignment horizontal="right" vertical="center" shrinkToFit="1"/>
    </xf>
    <xf numFmtId="219" fontId="40" fillId="0" borderId="150" applyAlignment="1" pivotButton="0" quotePrefix="0" xfId="4">
      <alignment horizontal="right" vertical="center" shrinkToFit="1"/>
    </xf>
    <xf numFmtId="219" fontId="40" fillId="0" borderId="195" applyAlignment="1" pivotButton="0" quotePrefix="0" xfId="4">
      <alignment horizontal="right" vertical="center" shrinkToFit="1"/>
    </xf>
    <xf numFmtId="219" fontId="40" fillId="0" borderId="182" applyAlignment="1" pivotButton="0" quotePrefix="0" xfId="4">
      <alignment horizontal="right" vertical="center" shrinkToFit="1"/>
    </xf>
    <xf numFmtId="219" fontId="40" fillId="0" borderId="155" applyAlignment="1" pivotButton="0" quotePrefix="0" xfId="4">
      <alignment horizontal="right" vertical="center" shrinkToFit="1"/>
    </xf>
    <xf numFmtId="219" fontId="40" fillId="0" borderId="196" applyAlignment="1" pivotButton="0" quotePrefix="0" xfId="4">
      <alignment horizontal="right" vertical="center" shrinkToFit="1"/>
    </xf>
    <xf numFmtId="3" fontId="40" fillId="0" borderId="159" applyAlignment="1" pivotButton="0" quotePrefix="0" xfId="4">
      <alignment horizontal="right" vertical="center" shrinkToFit="1"/>
    </xf>
    <xf numFmtId="3" fontId="40" fillId="0" borderId="150" applyAlignment="1" pivotButton="0" quotePrefix="0" xfId="4">
      <alignment horizontal="right" vertical="center" shrinkToFit="1"/>
    </xf>
    <xf numFmtId="3" fontId="40" fillId="0" borderId="195" applyAlignment="1" pivotButton="0" quotePrefix="0" xfId="4">
      <alignment horizontal="right" vertical="center" shrinkToFit="1"/>
    </xf>
    <xf numFmtId="3" fontId="40" fillId="0" borderId="182" applyAlignment="1" pivotButton="0" quotePrefix="0" xfId="4">
      <alignment horizontal="right" vertical="center" shrinkToFit="1"/>
    </xf>
    <xf numFmtId="3" fontId="40" fillId="0" borderId="155" applyAlignment="1" pivotButton="0" quotePrefix="0" xfId="4">
      <alignment horizontal="right" vertical="center" shrinkToFit="1"/>
    </xf>
    <xf numFmtId="3" fontId="40" fillId="0" borderId="196" applyAlignment="1" pivotButton="0" quotePrefix="0" xfId="4">
      <alignment horizontal="right" vertical="center" shrinkToFit="1"/>
    </xf>
    <xf numFmtId="176" fontId="40" fillId="0" borderId="164" applyAlignment="1" pivotButton="0" quotePrefix="0" xfId="4">
      <alignment horizontal="center" vertical="center" shrinkToFit="1"/>
    </xf>
    <xf numFmtId="181" fontId="40" fillId="0" borderId="164" applyAlignment="1" pivotButton="0" quotePrefix="0" xfId="4">
      <alignment horizontal="right" vertical="center" shrinkToFit="1"/>
    </xf>
    <xf numFmtId="3" fontId="43" fillId="0" borderId="159" applyAlignment="1" pivotButton="0" quotePrefix="0" xfId="3">
      <alignment horizontal="right" vertical="center" shrinkToFit="1"/>
    </xf>
    <xf numFmtId="3" fontId="43" fillId="0" borderId="150" applyAlignment="1" pivotButton="0" quotePrefix="0" xfId="3">
      <alignment horizontal="right" vertical="center" shrinkToFit="1"/>
    </xf>
    <xf numFmtId="3" fontId="43" fillId="0" borderId="195" applyAlignment="1" pivotButton="0" quotePrefix="0" xfId="3">
      <alignment horizontal="right" vertical="center" shrinkToFit="1"/>
    </xf>
    <xf numFmtId="3" fontId="43" fillId="0" borderId="182" applyAlignment="1" pivotButton="0" quotePrefix="0" xfId="3">
      <alignment horizontal="right" vertical="center" shrinkToFit="1"/>
    </xf>
    <xf numFmtId="3" fontId="43" fillId="0" borderId="155" applyAlignment="1" pivotButton="0" quotePrefix="0" xfId="3">
      <alignment horizontal="right" vertical="center" shrinkToFit="1"/>
    </xf>
    <xf numFmtId="3" fontId="43" fillId="0" borderId="196" applyAlignment="1" pivotButton="0" quotePrefix="0" xfId="3">
      <alignment horizontal="right" vertical="center" shrinkToFit="1"/>
    </xf>
    <xf numFmtId="190" fontId="208" fillId="0" borderId="161" applyAlignment="1" pivotButton="0" quotePrefix="0" xfId="3">
      <alignment horizontal="center" vertical="center" wrapText="1"/>
    </xf>
    <xf numFmtId="190" fontId="208" fillId="0" borderId="184" applyAlignment="1" pivotButton="0" quotePrefix="0" xfId="3">
      <alignment horizontal="center" vertical="center" wrapText="1"/>
    </xf>
    <xf numFmtId="171" fontId="42" fillId="0" borderId="159" applyAlignment="1" pivotButton="0" quotePrefix="0" xfId="4">
      <alignment horizontal="center" vertical="center" shrinkToFit="1"/>
    </xf>
    <xf numFmtId="0" fontId="42" fillId="0" borderId="150" applyAlignment="1" pivotButton="0" quotePrefix="0" xfId="4">
      <alignment horizontal="center" vertical="center" shrinkToFit="1"/>
    </xf>
    <xf numFmtId="0" fontId="42" fillId="0" borderId="182" applyAlignment="1" pivotButton="0" quotePrefix="0" xfId="4">
      <alignment horizontal="center" vertical="center" shrinkToFit="1"/>
    </xf>
    <xf numFmtId="0" fontId="42" fillId="0" borderId="155" applyAlignment="1" pivotButton="0" quotePrefix="0" xfId="4">
      <alignment horizontal="center" vertical="center" shrinkToFit="1"/>
    </xf>
    <xf numFmtId="190" fontId="208" fillId="0" borderId="159" applyAlignment="1" pivotButton="0" quotePrefix="0" xfId="4">
      <alignment vertical="center" wrapText="1"/>
    </xf>
    <xf numFmtId="0" fontId="208" fillId="0" borderId="195" applyAlignment="1" pivotButton="0" quotePrefix="0" xfId="4">
      <alignment vertical="center" wrapText="1"/>
    </xf>
    <xf numFmtId="0" fontId="208" fillId="0" borderId="182" applyAlignment="1" pivotButton="0" quotePrefix="0" xfId="4">
      <alignment vertical="center" wrapText="1"/>
    </xf>
    <xf numFmtId="0" fontId="208" fillId="0" borderId="196" applyAlignment="1" pivotButton="0" quotePrefix="0" xfId="4">
      <alignment vertical="center" wrapText="1"/>
    </xf>
    <xf numFmtId="190" fontId="209" fillId="0" borderId="159" applyAlignment="1" pivotButton="0" quotePrefix="0" xfId="4">
      <alignment horizontal="center" vertical="center" shrinkToFit="1"/>
    </xf>
    <xf numFmtId="190" fontId="209" fillId="0" borderId="150" applyAlignment="1" pivotButton="0" quotePrefix="0" xfId="4">
      <alignment horizontal="center" vertical="center" shrinkToFit="1"/>
    </xf>
    <xf numFmtId="190" fontId="209" fillId="0" borderId="151" applyAlignment="1" pivotButton="0" quotePrefix="0" xfId="4">
      <alignment horizontal="center" vertical="center" shrinkToFit="1"/>
    </xf>
    <xf numFmtId="190" fontId="209" fillId="0" borderId="182" applyAlignment="1" pivotButton="0" quotePrefix="0" xfId="4">
      <alignment horizontal="center" vertical="center" shrinkToFit="1"/>
    </xf>
    <xf numFmtId="190" fontId="209" fillId="0" borderId="155" applyAlignment="1" pivotButton="0" quotePrefix="0" xfId="4">
      <alignment horizontal="center" vertical="center" shrinkToFit="1"/>
    </xf>
    <xf numFmtId="190" fontId="209" fillId="0" borderId="156" applyAlignment="1" pivotButton="0" quotePrefix="0" xfId="4">
      <alignment horizontal="center" vertical="center" shrinkToFit="1"/>
    </xf>
    <xf numFmtId="0" fontId="210" fillId="0" borderId="171" applyAlignment="1" pivotButton="0" quotePrefix="0" xfId="4">
      <alignment horizontal="left" vertical="center" wrapText="1" shrinkToFit="1"/>
    </xf>
    <xf numFmtId="0" fontId="210" fillId="0" borderId="172" applyAlignment="1" pivotButton="0" quotePrefix="0" xfId="4">
      <alignment horizontal="left" vertical="center" shrinkToFit="1"/>
    </xf>
    <xf numFmtId="0" fontId="210" fillId="0" borderId="173" applyAlignment="1" pivotButton="0" quotePrefix="0" xfId="4">
      <alignment horizontal="left" vertical="center" shrinkToFit="1"/>
    </xf>
    <xf numFmtId="0" fontId="210" fillId="0" borderId="165" applyAlignment="1" pivotButton="0" quotePrefix="0" xfId="4">
      <alignment horizontal="left" vertical="center" shrinkToFit="1"/>
    </xf>
    <xf numFmtId="0" fontId="210" fillId="0" borderId="166" applyAlignment="1" pivotButton="0" quotePrefix="0" xfId="4">
      <alignment horizontal="left" vertical="center" shrinkToFit="1"/>
    </xf>
    <xf numFmtId="0" fontId="210" fillId="0" borderId="177" applyAlignment="1" pivotButton="0" quotePrefix="0" xfId="4">
      <alignment horizontal="left" vertical="center" shrinkToFit="1"/>
    </xf>
    <xf numFmtId="0" fontId="40" fillId="0" borderId="179" applyAlignment="1" pivotButton="0" quotePrefix="0" xfId="4">
      <alignment horizontal="center" vertical="center" shrinkToFit="1"/>
    </xf>
    <xf numFmtId="0" fontId="40" fillId="0" borderId="169" applyAlignment="1" pivotButton="0" quotePrefix="0" xfId="4">
      <alignment horizontal="center" vertical="center" shrinkToFit="1"/>
    </xf>
    <xf numFmtId="0" fontId="40" fillId="0" borderId="158" applyAlignment="1" pivotButton="0" quotePrefix="0" xfId="4">
      <alignment horizontal="center" vertical="center" shrinkToFit="1"/>
    </xf>
    <xf numFmtId="0" fontId="40" fillId="0" borderId="192" applyAlignment="1" pivotButton="0" quotePrefix="0" xfId="4">
      <alignment horizontal="center" vertical="center" shrinkToFit="1"/>
    </xf>
    <xf numFmtId="0" fontId="40" fillId="0" borderId="273" applyAlignment="1" pivotButton="0" quotePrefix="0" xfId="4">
      <alignment horizontal="center" vertical="center" shrinkToFit="1"/>
    </xf>
    <xf numFmtId="0" fontId="40" fillId="0" borderId="274" applyAlignment="1" pivotButton="0" quotePrefix="0" xfId="4">
      <alignment horizontal="center" vertical="center" shrinkToFit="1"/>
    </xf>
    <xf numFmtId="0" fontId="40" fillId="0" borderId="275" applyAlignment="1" pivotButton="0" quotePrefix="0" xfId="4">
      <alignment horizontal="center" vertical="center" shrinkToFit="1"/>
    </xf>
    <xf numFmtId="0" fontId="40" fillId="0" borderId="168" applyAlignment="1" pivotButton="0" quotePrefix="0" xfId="4">
      <alignment horizontal="center" vertical="center" shrinkToFit="1"/>
    </xf>
    <xf numFmtId="0" fontId="40" fillId="0" borderId="161" applyAlignment="1" pivotButton="0" quotePrefix="0" xfId="4">
      <alignment horizontal="center" vertical="center" shrinkToFit="1"/>
    </xf>
    <xf numFmtId="176" fontId="40" fillId="0" borderId="158" applyAlignment="1" pivotButton="0" quotePrefix="0" xfId="4">
      <alignment horizontal="center" vertical="center" shrinkToFit="1"/>
    </xf>
    <xf numFmtId="181" fontId="40" fillId="0" borderId="158" applyAlignment="1" pivotButton="0" quotePrefix="0" xfId="4">
      <alignment horizontal="right" vertical="center" shrinkToFit="1"/>
    </xf>
    <xf numFmtId="0" fontId="43" fillId="0" borderId="161" applyAlignment="1" pivotButton="0" quotePrefix="0" xfId="4">
      <alignment horizontal="center" vertical="center" wrapText="1"/>
    </xf>
    <xf numFmtId="0" fontId="43" fillId="0" borderId="169" applyAlignment="1" pivotButton="0" quotePrefix="0" xfId="4">
      <alignment horizontal="center" vertical="center" wrapText="1"/>
    </xf>
    <xf numFmtId="0" fontId="40" fillId="0" borderId="175" applyAlignment="1" pivotButton="0" quotePrefix="0" xfId="4">
      <alignment horizontal="center" vertical="center" shrinkToFit="1"/>
    </xf>
    <xf numFmtId="0" fontId="40" fillId="0" borderId="185" applyAlignment="1" pivotButton="0" quotePrefix="0" xfId="4">
      <alignment horizontal="center" vertical="center" shrinkToFit="1"/>
    </xf>
    <xf numFmtId="0" fontId="205" fillId="0" borderId="188" applyAlignment="1" pivotButton="0" quotePrefix="0" xfId="4">
      <alignment horizontal="center" vertical="center" wrapText="1"/>
    </xf>
    <xf numFmtId="0" fontId="205" fillId="0" borderId="189" applyAlignment="1" pivotButton="0" quotePrefix="0" xfId="4">
      <alignment horizontal="center" vertical="center" wrapText="1"/>
    </xf>
    <xf numFmtId="0" fontId="205" fillId="0" borderId="190" applyAlignment="1" pivotButton="0" quotePrefix="0" xfId="4">
      <alignment horizontal="center" vertical="center" wrapText="1"/>
    </xf>
    <xf numFmtId="0" fontId="38" fillId="0" borderId="190" applyAlignment="1" pivotButton="0" quotePrefix="0" xfId="4">
      <alignment horizontal="center" vertical="center" wrapText="1"/>
    </xf>
    <xf numFmtId="0" fontId="38" fillId="0" borderId="189" applyAlignment="1" pivotButton="0" quotePrefix="0" xfId="4">
      <alignment horizontal="center" vertical="center" wrapText="1"/>
    </xf>
    <xf numFmtId="0" fontId="205" fillId="0" borderId="187" applyAlignment="1" pivotButton="0" quotePrefix="0" xfId="4">
      <alignment horizontal="center" vertical="center" wrapText="1"/>
    </xf>
    <xf numFmtId="0" fontId="205" fillId="0" borderId="191" applyAlignment="1" pivotButton="0" quotePrefix="0" xfId="4">
      <alignment horizontal="center" vertical="center" wrapText="1"/>
    </xf>
    <xf numFmtId="0" fontId="205" fillId="0" borderId="171" applyAlignment="1" pivotButton="0" quotePrefix="0" xfId="4">
      <alignment horizontal="center" vertical="center" wrapText="1"/>
    </xf>
    <xf numFmtId="0" fontId="205" fillId="0" borderId="172" applyAlignment="1" pivotButton="0" quotePrefix="0" xfId="4">
      <alignment horizontal="center" vertical="center" wrapText="1"/>
    </xf>
    <xf numFmtId="0" fontId="205" fillId="0" borderId="173" applyAlignment="1" pivotButton="0" quotePrefix="0" xfId="4">
      <alignment horizontal="center" vertical="center" wrapText="1"/>
    </xf>
    <xf numFmtId="0" fontId="205" fillId="0" borderId="165" applyAlignment="1" pivotButton="0" quotePrefix="0" xfId="4">
      <alignment horizontal="center" vertical="center" wrapText="1"/>
    </xf>
    <xf numFmtId="0" fontId="205" fillId="0" borderId="166" applyAlignment="1" pivotButton="0" quotePrefix="0" xfId="4">
      <alignment horizontal="center" vertical="center" wrapText="1"/>
    </xf>
    <xf numFmtId="0" fontId="205" fillId="0" borderId="177" applyAlignment="1" pivotButton="0" quotePrefix="0" xfId="4">
      <alignment horizontal="center" vertical="center" wrapText="1"/>
    </xf>
    <xf numFmtId="0" fontId="40" fillId="0" borderId="171" applyAlignment="1" pivotButton="0" quotePrefix="0" xfId="4">
      <alignment horizontal="center" vertical="center" shrinkToFit="1"/>
    </xf>
    <xf numFmtId="0" fontId="40" fillId="0" borderId="172" applyAlignment="1" pivotButton="0" quotePrefix="0" xfId="4">
      <alignment horizontal="center" vertical="center" shrinkToFit="1"/>
    </xf>
    <xf numFmtId="0" fontId="40" fillId="0" borderId="174" applyAlignment="1" pivotButton="0" quotePrefix="0" xfId="4">
      <alignment horizontal="center" vertical="center" shrinkToFit="1"/>
    </xf>
    <xf numFmtId="0" fontId="40" fillId="0" borderId="165" applyAlignment="1" pivotButton="0" quotePrefix="0" xfId="4">
      <alignment horizontal="center" vertical="center" shrinkToFit="1"/>
    </xf>
    <xf numFmtId="0" fontId="40" fillId="0" borderId="166" applyAlignment="1" pivotButton="0" quotePrefix="0" xfId="4">
      <alignment horizontal="center" vertical="center" shrinkToFit="1"/>
    </xf>
    <xf numFmtId="0" fontId="40" fillId="0" borderId="167" applyAlignment="1" pivotButton="0" quotePrefix="0" xfId="4">
      <alignment horizontal="center" vertical="center" shrinkToFit="1"/>
    </xf>
    <xf numFmtId="0" fontId="205" fillId="0" borderId="175" applyAlignment="1" pivotButton="0" quotePrefix="0" xfId="4">
      <alignment horizontal="center" vertical="center" wrapText="1"/>
    </xf>
    <xf numFmtId="0" fontId="40" fillId="0" borderId="171" applyAlignment="1" pivotButton="0" quotePrefix="0" xfId="4">
      <alignment horizontal="left" vertical="center" wrapText="1" shrinkToFit="1"/>
    </xf>
    <xf numFmtId="0" fontId="40" fillId="0" borderId="172" applyAlignment="1" pivotButton="0" quotePrefix="0" xfId="4">
      <alignment horizontal="left" vertical="center" wrapText="1" shrinkToFit="1"/>
    </xf>
    <xf numFmtId="0" fontId="40" fillId="0" borderId="176" applyAlignment="1" pivotButton="0" quotePrefix="0" xfId="4">
      <alignment horizontal="left" vertical="center" wrapText="1" shrinkToFit="1"/>
    </xf>
    <xf numFmtId="0" fontId="40" fillId="0" borderId="165" applyAlignment="1" pivotButton="0" quotePrefix="0" xfId="4">
      <alignment horizontal="left" vertical="center" wrapText="1" shrinkToFit="1"/>
    </xf>
    <xf numFmtId="0" fontId="40" fillId="0" borderId="166" applyAlignment="1" pivotButton="0" quotePrefix="0" xfId="4">
      <alignment horizontal="left" vertical="center" wrapText="1" shrinkToFit="1"/>
    </xf>
    <xf numFmtId="0" fontId="40" fillId="0" borderId="178" applyAlignment="1" pivotButton="0" quotePrefix="0" xfId="4">
      <alignment horizontal="left" vertical="center" wrapText="1" shrinkToFit="1"/>
    </xf>
    <xf numFmtId="0" fontId="205" fillId="0" borderId="169" applyAlignment="1" pivotButton="0" quotePrefix="0" xfId="4">
      <alignment horizontal="center" vertical="center" wrapText="1"/>
    </xf>
    <xf numFmtId="0" fontId="205" fillId="0" borderId="164" applyAlignment="1" pivotButton="0" quotePrefix="0" xfId="4">
      <alignment horizontal="center" vertical="center" wrapText="1"/>
    </xf>
    <xf numFmtId="0" fontId="205" fillId="0" borderId="181" applyAlignment="1" pivotButton="0" quotePrefix="0" xfId="4">
      <alignment horizontal="center" vertical="center" wrapText="1"/>
    </xf>
    <xf numFmtId="190" fontId="43" fillId="0" borderId="171" applyAlignment="1" pivotButton="0" quotePrefix="0" xfId="4">
      <alignment horizontal="right" vertical="center" shrinkToFit="1"/>
    </xf>
    <xf numFmtId="190" fontId="43" fillId="0" borderId="172" applyAlignment="1" pivotButton="0" quotePrefix="0" xfId="4">
      <alignment horizontal="right" vertical="center" shrinkToFit="1"/>
    </xf>
    <xf numFmtId="190" fontId="43" fillId="0" borderId="174" applyAlignment="1" pivotButton="0" quotePrefix="0" xfId="4">
      <alignment horizontal="right" vertical="center" shrinkToFit="1"/>
    </xf>
    <xf numFmtId="190" fontId="43" fillId="0" borderId="182" applyAlignment="1" pivotButton="0" quotePrefix="0" xfId="4">
      <alignment horizontal="right" vertical="center" shrinkToFit="1"/>
    </xf>
    <xf numFmtId="190" fontId="43" fillId="0" borderId="155" applyAlignment="1" pivotButton="0" quotePrefix="0" xfId="4">
      <alignment horizontal="right" vertical="center" shrinkToFit="1"/>
    </xf>
    <xf numFmtId="190" fontId="43" fillId="0" borderId="183" applyAlignment="1" pivotButton="0" quotePrefix="0" xfId="4">
      <alignment horizontal="right" vertical="center" shrinkToFit="1"/>
    </xf>
    <xf numFmtId="0" fontId="205" fillId="0" borderId="184" applyAlignment="1" pivotButton="0" quotePrefix="0" xfId="4">
      <alignment horizontal="center" vertical="center" wrapText="1"/>
    </xf>
    <xf numFmtId="0" fontId="205" fillId="0" borderId="147" applyAlignment="1" pivotButton="0" quotePrefix="0" xfId="4">
      <alignment horizontal="center" vertical="center" wrapText="1"/>
    </xf>
    <xf numFmtId="0" fontId="205" fillId="0" borderId="148" applyAlignment="1" pivotButton="0" quotePrefix="0" xfId="4">
      <alignment horizontal="center" vertical="center" wrapText="1"/>
    </xf>
    <xf numFmtId="0" fontId="205" fillId="0" borderId="149" applyAlignment="1" pivotButton="0" quotePrefix="0" xfId="4">
      <alignment horizontal="center" vertical="center" wrapText="1"/>
    </xf>
    <xf numFmtId="0" fontId="206" fillId="0" borderId="150" applyAlignment="1" pivotButton="0" quotePrefix="0" xfId="4">
      <alignment horizontal="center" vertical="center" wrapText="1"/>
    </xf>
    <xf numFmtId="0" fontId="206" fillId="0" borderId="155" applyAlignment="1" pivotButton="0" quotePrefix="0" xfId="4">
      <alignment horizontal="center" vertical="center" wrapText="1"/>
    </xf>
    <xf numFmtId="220" fontId="205" fillId="0" borderId="152" applyAlignment="1" pivotButton="0" quotePrefix="0" xfId="4">
      <alignment horizontal="center" vertical="center" wrapText="1"/>
    </xf>
    <xf numFmtId="220" fontId="205" fillId="0" borderId="153" applyAlignment="1" pivotButton="0" quotePrefix="0" xfId="4">
      <alignment horizontal="center" vertical="center" wrapText="1"/>
    </xf>
    <xf numFmtId="220" fontId="205" fillId="0" borderId="154" applyAlignment="1" pivotButton="0" quotePrefix="0" xfId="4">
      <alignment horizontal="center" vertical="center" wrapText="1"/>
    </xf>
    <xf numFmtId="0" fontId="205" fillId="0" borderId="155" applyAlignment="1" pivotButton="0" quotePrefix="0" xfId="4">
      <alignment horizontal="center" vertical="center" wrapText="1"/>
    </xf>
    <xf numFmtId="0" fontId="205" fillId="0" borderId="156" applyAlignment="1" pivotButton="0" quotePrefix="0" xfId="4">
      <alignment horizontal="center" vertical="center" wrapText="1"/>
    </xf>
    <xf numFmtId="0" fontId="205" fillId="0" borderId="157" applyAlignment="1" pivotButton="0" quotePrefix="0" xfId="4">
      <alignment horizontal="center" vertical="center" textRotation="255" wrapText="1"/>
    </xf>
    <xf numFmtId="0" fontId="205" fillId="0" borderId="163" applyAlignment="1" pivotButton="0" quotePrefix="0" xfId="4">
      <alignment horizontal="center" vertical="center" textRotation="255" wrapText="1"/>
    </xf>
    <xf numFmtId="0" fontId="205" fillId="0" borderId="180" applyAlignment="1" pivotButton="0" quotePrefix="0" xfId="4">
      <alignment horizontal="center" vertical="center" textRotation="255" wrapText="1"/>
    </xf>
    <xf numFmtId="0" fontId="205" fillId="0" borderId="158" applyAlignment="1" pivotButton="0" quotePrefix="0" xfId="4">
      <alignment horizontal="center" vertical="center" wrapText="1"/>
    </xf>
    <xf numFmtId="0" fontId="265" fillId="0" borderId="159" applyAlignment="1" pivotButton="0" quotePrefix="0" xfId="4">
      <alignment horizontal="center" vertical="center" wrapText="1"/>
    </xf>
    <xf numFmtId="0" fontId="266" fillId="0" borderId="150" applyAlignment="1" pivotButton="0" quotePrefix="0" xfId="4">
      <alignment horizontal="center" vertical="center" wrapText="1"/>
    </xf>
    <xf numFmtId="0" fontId="265" fillId="0" borderId="165" applyAlignment="1" pivotButton="0" quotePrefix="0" xfId="4">
      <alignment horizontal="center" vertical="center" wrapText="1"/>
    </xf>
    <xf numFmtId="0" fontId="266" fillId="0" borderId="166" applyAlignment="1" pivotButton="0" quotePrefix="0" xfId="4">
      <alignment horizontal="center" vertical="center" wrapText="1"/>
    </xf>
    <xf numFmtId="0" fontId="246" fillId="0" borderId="150" applyAlignment="1" pivotButton="0" quotePrefix="0" xfId="4">
      <alignment horizontal="center" vertical="center" wrapText="1"/>
    </xf>
    <xf numFmtId="0" fontId="246" fillId="0" borderId="160" applyAlignment="1" pivotButton="0" quotePrefix="0" xfId="4">
      <alignment horizontal="center" vertical="center" wrapText="1"/>
    </xf>
    <xf numFmtId="0" fontId="246" fillId="0" borderId="166" applyAlignment="1" pivotButton="0" quotePrefix="0" xfId="4">
      <alignment horizontal="center" vertical="center" wrapText="1"/>
    </xf>
    <xf numFmtId="0" fontId="246" fillId="0" borderId="167" applyAlignment="1" pivotButton="0" quotePrefix="0" xfId="4">
      <alignment horizontal="center" vertical="center" wrapText="1"/>
    </xf>
    <xf numFmtId="0" fontId="205" fillId="0" borderId="149" applyAlignment="1" pivotButton="0" quotePrefix="0" xfId="4">
      <alignment horizontal="center" vertical="center" textRotation="255" wrapText="1"/>
    </xf>
    <xf numFmtId="0" fontId="205" fillId="0" borderId="168" applyAlignment="1" pivotButton="0" quotePrefix="0" xfId="4">
      <alignment horizontal="center" vertical="center" textRotation="255" wrapText="1"/>
    </xf>
    <xf numFmtId="0" fontId="205" fillId="0" borderId="173" applyAlignment="1" pivotButton="0" quotePrefix="0" xfId="4">
      <alignment horizontal="center" vertical="center" textRotation="255" wrapText="1"/>
    </xf>
    <xf numFmtId="0" fontId="40" fillId="0" borderId="171" applyAlignment="1" pivotButton="0" quotePrefix="0" xfId="4">
      <alignment horizontal="left" vertical="center" shrinkToFit="1"/>
    </xf>
    <xf numFmtId="0" fontId="40" fillId="0" borderId="172" applyAlignment="1" pivotButton="0" quotePrefix="0" xfId="4">
      <alignment horizontal="left" vertical="center" shrinkToFit="1"/>
    </xf>
    <xf numFmtId="0" fontId="40" fillId="0" borderId="174" applyAlignment="1" pivotButton="0" quotePrefix="0" xfId="4">
      <alignment horizontal="left" vertical="center" shrinkToFit="1"/>
    </xf>
    <xf numFmtId="0" fontId="40" fillId="0" borderId="165" applyAlignment="1" pivotButton="0" quotePrefix="0" xfId="4">
      <alignment horizontal="left" vertical="center" shrinkToFit="1"/>
    </xf>
    <xf numFmtId="0" fontId="40" fillId="0" borderId="166" applyAlignment="1" pivotButton="0" quotePrefix="0" xfId="4">
      <alignment horizontal="left" vertical="center" shrinkToFit="1"/>
    </xf>
    <xf numFmtId="0" fontId="40" fillId="0" borderId="167" applyAlignment="1" pivotButton="0" quotePrefix="0" xfId="4">
      <alignment horizontal="left" vertical="center" shrinkToFit="1"/>
    </xf>
    <xf numFmtId="0" fontId="43" fillId="0" borderId="171" applyAlignment="1" pivotButton="0" quotePrefix="0" xfId="4">
      <alignment horizontal="center" vertical="center" shrinkToFit="1"/>
    </xf>
    <xf numFmtId="0" fontId="43" fillId="0" borderId="172" applyAlignment="1" pivotButton="0" quotePrefix="0" xfId="4">
      <alignment horizontal="center" vertical="center" shrinkToFit="1"/>
    </xf>
    <xf numFmtId="0" fontId="43" fillId="0" borderId="173" applyAlignment="1" pivotButton="0" quotePrefix="0" xfId="4">
      <alignment horizontal="center" vertical="center" shrinkToFit="1"/>
    </xf>
    <xf numFmtId="0" fontId="43" fillId="0" borderId="165" applyAlignment="1" pivotButton="0" quotePrefix="0" xfId="4">
      <alignment horizontal="center" vertical="center" shrinkToFit="1"/>
    </xf>
    <xf numFmtId="0" fontId="43" fillId="0" borderId="166" applyAlignment="1" pivotButton="0" quotePrefix="0" xfId="4">
      <alignment horizontal="center" vertical="center" shrinkToFit="1"/>
    </xf>
    <xf numFmtId="0" fontId="43" fillId="0" borderId="177" applyAlignment="1" pivotButton="0" quotePrefix="0" xfId="4">
      <alignment horizontal="center" vertical="center" shrinkToFit="1"/>
    </xf>
    <xf numFmtId="0" fontId="43" fillId="0" borderId="176" applyAlignment="1" pivotButton="0" quotePrefix="0" xfId="4">
      <alignment horizontal="center" vertical="center" shrinkToFit="1"/>
    </xf>
    <xf numFmtId="0" fontId="43" fillId="0" borderId="178" applyAlignment="1" pivotButton="0" quotePrefix="0" xfId="4">
      <alignment horizontal="center" vertical="center" shrinkToFit="1"/>
    </xf>
    <xf numFmtId="0" fontId="263" fillId="0" borderId="169" applyAlignment="1" pivotButton="0" quotePrefix="0" xfId="4">
      <alignment horizontal="center" vertical="center" wrapText="1"/>
    </xf>
    <xf numFmtId="0" fontId="43" fillId="0" borderId="161" applyAlignment="1" pivotButton="0" quotePrefix="1" xfId="4">
      <alignment horizontal="center" vertical="center" wrapText="1"/>
    </xf>
    <xf numFmtId="0" fontId="43" fillId="0" borderId="162" applyAlignment="1" pivotButton="0" quotePrefix="0" xfId="4">
      <alignment horizontal="center" vertical="center" wrapText="1"/>
    </xf>
    <xf numFmtId="0" fontId="43" fillId="0" borderId="170" applyAlignment="1" pivotButton="0" quotePrefix="0" xfId="4">
      <alignment horizontal="center" vertical="center" wrapText="1"/>
    </xf>
    <xf numFmtId="0" fontId="75" fillId="3" borderId="4" applyAlignment="1" pivotButton="0" quotePrefix="0" xfId="0">
      <alignment horizontal="right" vertical="center"/>
    </xf>
    <xf numFmtId="0" fontId="87" fillId="0" borderId="4" applyAlignment="1" pivotButton="0" quotePrefix="0" xfId="0">
      <alignment horizontal="center" vertical="center"/>
    </xf>
    <xf numFmtId="0" fontId="151" fillId="0" borderId="4" applyAlignment="1" pivotButton="0" quotePrefix="0" xfId="0">
      <alignment horizontal="center" vertical="center"/>
    </xf>
    <xf numFmtId="0" fontId="75" fillId="11" borderId="4" applyAlignment="1" pivotButton="0" quotePrefix="0" xfId="0">
      <alignment horizontal="center" vertical="center"/>
    </xf>
    <xf numFmtId="166" fontId="75" fillId="11" borderId="4" applyAlignment="1" pivotButton="0" quotePrefix="0" xfId="0">
      <alignment horizontal="center" vertical="center"/>
    </xf>
    <xf numFmtId="191" fontId="75" fillId="11" borderId="4" applyAlignment="1" pivotButton="0" quotePrefix="0" xfId="0">
      <alignment horizontal="center" vertical="center"/>
    </xf>
    <xf numFmtId="0" fontId="75" fillId="13" borderId="0" applyAlignment="1" pivotButton="0" quotePrefix="0" xfId="0">
      <alignment horizontal="center" vertical="center"/>
    </xf>
    <xf numFmtId="166" fontId="75" fillId="12" borderId="0" applyAlignment="1" pivotButton="0" quotePrefix="0" xfId="0">
      <alignment horizontal="center" vertical="center"/>
    </xf>
    <xf numFmtId="0" fontId="83" fillId="3" borderId="4" applyAlignment="1" pivotButton="0" quotePrefix="0" xfId="0">
      <alignment horizontal="right" vertical="center"/>
    </xf>
    <xf numFmtId="49" fontId="150" fillId="0" borderId="0" applyAlignment="1" pivotButton="0" quotePrefix="0" xfId="0">
      <alignment horizontal="center" vertical="center"/>
    </xf>
    <xf numFmtId="49" fontId="75" fillId="0" borderId="1" applyAlignment="1" pivotButton="0" quotePrefix="0" xfId="0">
      <alignment horizontal="center" vertical="center"/>
    </xf>
    <xf numFmtId="0" fontId="78" fillId="0" borderId="2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/>
    </xf>
    <xf numFmtId="0" fontId="148" fillId="0" borderId="2" applyAlignment="1" pivotButton="0" quotePrefix="0" xfId="0">
      <alignment horizontal="left" vertical="center"/>
    </xf>
    <xf numFmtId="0" fontId="148" fillId="0" borderId="0" applyAlignment="1" pivotButton="0" quotePrefix="0" xfId="0">
      <alignment horizontal="left" vertical="center"/>
    </xf>
    <xf numFmtId="49" fontId="75" fillId="0" borderId="0" applyAlignment="1" pivotButton="0" quotePrefix="0" xfId="0">
      <alignment horizontal="center" vertical="center"/>
    </xf>
    <xf numFmtId="0" fontId="75" fillId="0" borderId="1" applyAlignment="1" pivotButton="0" quotePrefix="0" xfId="0">
      <alignment horizontal="center" vertical="center"/>
    </xf>
    <xf numFmtId="0" fontId="75" fillId="0" borderId="9" applyAlignment="1" pivotButton="0" quotePrefix="0" xfId="0">
      <alignment horizontal="center" vertical="center"/>
    </xf>
    <xf numFmtId="0" fontId="75" fillId="12" borderId="0" applyAlignment="1" pivotButton="0" quotePrefix="0" xfId="0">
      <alignment horizontal="center" vertical="center"/>
    </xf>
    <xf numFmtId="170" fontId="75" fillId="11" borderId="4" applyAlignment="1" pivotButton="0" quotePrefix="0" xfId="0">
      <alignment horizontal="center" vertical="center"/>
    </xf>
    <xf numFmtId="191" fontId="75" fillId="0" borderId="0" applyAlignment="1" pivotButton="0" quotePrefix="0" xfId="0">
      <alignment horizontal="center" vertical="center"/>
    </xf>
    <xf numFmtId="191" fontId="75" fillId="12" borderId="0" applyAlignment="1" pivotButton="0" quotePrefix="0" xfId="0">
      <alignment horizontal="center" vertical="center"/>
    </xf>
    <xf numFmtId="0" fontId="75" fillId="11" borderId="27" applyAlignment="1" pivotButton="0" quotePrefix="0" xfId="0">
      <alignment horizontal="center" vertical="center"/>
    </xf>
    <xf numFmtId="0" fontId="75" fillId="11" borderId="3" applyAlignment="1" pivotButton="0" quotePrefix="0" xfId="0">
      <alignment horizontal="center" vertical="center"/>
    </xf>
    <xf numFmtId="0" fontId="75" fillId="11" borderId="52" applyAlignment="1" pivotButton="0" quotePrefix="0" xfId="0">
      <alignment horizontal="center" vertical="center"/>
    </xf>
    <xf numFmtId="0" fontId="149" fillId="0" borderId="0" applyAlignment="1" pivotButton="0" quotePrefix="0" xfId="0">
      <alignment horizontal="center" vertical="center"/>
    </xf>
    <xf numFmtId="191" fontId="75" fillId="0" borderId="9" applyAlignment="1" pivotButton="0" quotePrefix="0" xfId="0">
      <alignment horizontal="center" vertical="center"/>
    </xf>
    <xf numFmtId="166" fontId="75" fillId="0" borderId="0" applyAlignment="1" pivotButton="0" quotePrefix="0" xfId="0">
      <alignment horizontal="center" vertical="center"/>
    </xf>
    <xf numFmtId="166" fontId="75" fillId="0" borderId="1" applyAlignment="1" pivotButton="0" quotePrefix="0" xfId="0">
      <alignment horizontal="center" vertical="center"/>
    </xf>
    <xf numFmtId="0" fontId="75" fillId="0" borderId="8" applyAlignment="1" pivotButton="0" quotePrefix="0" xfId="0">
      <alignment horizontal="center" vertical="center"/>
    </xf>
    <xf numFmtId="0" fontId="75" fillId="0" borderId="6" applyAlignment="1" pivotButton="0" quotePrefix="0" xfId="0">
      <alignment horizontal="center" vertical="center"/>
    </xf>
    <xf numFmtId="184" fontId="75" fillId="0" borderId="0" applyAlignment="1" pivotButton="0" quotePrefix="0" xfId="0">
      <alignment horizontal="center" vertical="center"/>
    </xf>
    <xf numFmtId="0" fontId="152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right" vertical="center"/>
    </xf>
    <xf numFmtId="166" fontId="75" fillId="0" borderId="8" applyAlignment="1" pivotButton="0" quotePrefix="0" xfId="0">
      <alignment horizontal="center" vertical="center"/>
    </xf>
    <xf numFmtId="166" fontId="75" fillId="0" borderId="2" applyAlignment="1" pivotButton="0" quotePrefix="0" xfId="0">
      <alignment horizontal="center" vertical="center"/>
    </xf>
    <xf numFmtId="184" fontId="75" fillId="0" borderId="9" applyAlignment="1" pivotButton="0" quotePrefix="0" xfId="0">
      <alignment horizontal="center" vertical="center"/>
    </xf>
    <xf numFmtId="170" fontId="153" fillId="0" borderId="0" applyAlignment="1" pivotButton="0" quotePrefix="0" xfId="0">
      <alignment horizontal="center" vertical="center"/>
    </xf>
    <xf numFmtId="184" fontId="75" fillId="0" borderId="1" applyAlignment="1" pivotButton="0" quotePrefix="0" xfId="0">
      <alignment horizontal="center" vertical="center"/>
    </xf>
    <xf numFmtId="0" fontId="151" fillId="14" borderId="4" applyAlignment="1" pivotButton="0" quotePrefix="0" xfId="0">
      <alignment horizontal="center" vertical="center"/>
    </xf>
    <xf numFmtId="0" fontId="90" fillId="0" borderId="0" applyAlignment="1" pivotButton="0" quotePrefix="0" xfId="0">
      <alignment horizontal="right" vertical="center"/>
    </xf>
    <xf numFmtId="0" fontId="88" fillId="0" borderId="1" applyAlignment="1" pivotButton="0" quotePrefix="0" xfId="0">
      <alignment vertical="center"/>
    </xf>
    <xf numFmtId="0" fontId="84" fillId="0" borderId="0" applyAlignment="1" pivotButton="0" quotePrefix="0" xfId="0">
      <alignment horizontal="right" vertical="center"/>
    </xf>
    <xf numFmtId="0" fontId="82" fillId="0" borderId="0" applyAlignment="1" pivotButton="0" quotePrefix="0" xfId="0">
      <alignment horizontal="right" vertical="center"/>
    </xf>
    <xf numFmtId="0" fontId="154" fillId="0" borderId="1" applyAlignment="1" pivotButton="0" quotePrefix="0" xfId="0">
      <alignment horizontal="center" vertical="center"/>
    </xf>
    <xf numFmtId="0" fontId="155" fillId="0" borderId="1" applyAlignment="1" pivotButton="0" quotePrefix="0" xfId="0">
      <alignment horizontal="center" vertical="center"/>
    </xf>
    <xf numFmtId="0" fontId="82" fillId="0" borderId="1" applyAlignment="1" pivotButton="0" quotePrefix="0" xfId="0">
      <alignment horizontal="left" vertical="center"/>
    </xf>
    <xf numFmtId="0" fontId="78" fillId="0" borderId="9" applyAlignment="1" pivotButton="0" quotePrefix="0" xfId="0">
      <alignment horizontal="center" vertical="center"/>
    </xf>
    <xf numFmtId="0" fontId="88" fillId="0" borderId="9" applyAlignment="1" pivotButton="0" quotePrefix="0" xfId="0">
      <alignment vertical="center"/>
    </xf>
    <xf numFmtId="0" fontId="75" fillId="0" borderId="1" applyAlignment="1" pivotButton="0" quotePrefix="0" xfId="0">
      <alignment horizontal="left"/>
    </xf>
    <xf numFmtId="0" fontId="75" fillId="0" borderId="9" applyAlignment="1" pivotButton="0" quotePrefix="0" xfId="0">
      <alignment horizontal="left"/>
    </xf>
    <xf numFmtId="49" fontId="84" fillId="0" borderId="0" applyAlignment="1" pivotButton="0" quotePrefix="0" xfId="0">
      <alignment horizontal="center" vertical="center"/>
    </xf>
    <xf numFmtId="49" fontId="82" fillId="0" borderId="1" applyAlignment="1" pivotButton="0" quotePrefix="0" xfId="0">
      <alignment horizontal="center" vertical="center"/>
    </xf>
    <xf numFmtId="0" fontId="143" fillId="0" borderId="0" applyAlignment="1" pivotButton="0" quotePrefix="0" xfId="0">
      <alignment horizontal="center" vertical="center"/>
    </xf>
    <xf numFmtId="0" fontId="143" fillId="0" borderId="1" applyAlignment="1" pivotButton="0" quotePrefix="0" xfId="0">
      <alignment horizontal="center" vertical="center"/>
    </xf>
    <xf numFmtId="0" fontId="78" fillId="0" borderId="0" applyAlignment="1" pivotButton="0" quotePrefix="0" xfId="0">
      <alignment horizontal="right" vertical="center"/>
    </xf>
    <xf numFmtId="0" fontId="82" fillId="0" borderId="0" applyAlignment="1" pivotButton="0" quotePrefix="0" xfId="0">
      <alignment horizontal="left" vertical="center"/>
    </xf>
    <xf numFmtId="170" fontId="143" fillId="0" borderId="0" applyAlignment="1" pivotButton="0" quotePrefix="0" xfId="0">
      <alignment horizontal="center" vertical="center"/>
    </xf>
    <xf numFmtId="170" fontId="143" fillId="0" borderId="1" applyAlignment="1" pivotButton="0" quotePrefix="0" xfId="0">
      <alignment horizontal="center" vertical="center"/>
    </xf>
    <xf numFmtId="170" fontId="147" fillId="0" borderId="0" applyAlignment="1" pivotButton="0" quotePrefix="0" xfId="0">
      <alignment horizontal="center" vertical="center"/>
    </xf>
    <xf numFmtId="0" fontId="147" fillId="0" borderId="0" applyAlignment="1" pivotButton="0" quotePrefix="0" xfId="0">
      <alignment horizontal="center" vertical="center"/>
    </xf>
    <xf numFmtId="166" fontId="143" fillId="0" borderId="0" applyAlignment="1" pivotButton="0" quotePrefix="0" xfId="0">
      <alignment horizontal="center" vertical="center"/>
    </xf>
    <xf numFmtId="0" fontId="90" fillId="0" borderId="0" applyAlignment="1" pivotButton="0" quotePrefix="0" xfId="0">
      <alignment horizontal="center" vertical="center"/>
    </xf>
    <xf numFmtId="0" fontId="82" fillId="0" borderId="1" applyAlignment="1" pivotButton="0" quotePrefix="0" xfId="0">
      <alignment horizontal="right" vertical="center"/>
    </xf>
    <xf numFmtId="0" fontId="78" fillId="0" borderId="12" applyAlignment="1" pivotButton="0" quotePrefix="0" xfId="0">
      <alignment horizontal="center" vertical="center"/>
    </xf>
    <xf numFmtId="0" fontId="78" fillId="0" borderId="13" applyAlignment="1" pivotButton="0" quotePrefix="0" xfId="0">
      <alignment horizontal="center" vertical="center"/>
    </xf>
    <xf numFmtId="0" fontId="78" fillId="0" borderId="37" applyAlignment="1" pivotButton="0" quotePrefix="0" xfId="0">
      <alignment horizontal="center" vertical="center"/>
    </xf>
    <xf numFmtId="0" fontId="148" fillId="0" borderId="0" applyAlignment="1" pivotButton="0" quotePrefix="0" xfId="0">
      <alignment horizontal="center" vertical="center"/>
    </xf>
    <xf numFmtId="3" fontId="78" fillId="0" borderId="0" applyAlignment="1" pivotButton="0" quotePrefix="0" xfId="0">
      <alignment horizontal="left" vertical="center"/>
    </xf>
    <xf numFmtId="0" fontId="78" fillId="0" borderId="9" applyAlignment="1" pivotButton="0" quotePrefix="0" xfId="0">
      <alignment horizontal="right" vertical="center"/>
    </xf>
    <xf numFmtId="0" fontId="223" fillId="6" borderId="0" applyAlignment="1" pivotButton="0" quotePrefix="0" xfId="0">
      <alignment horizontal="center" vertical="center"/>
    </xf>
    <xf numFmtId="170" fontId="160" fillId="3" borderId="27" applyAlignment="1" pivotButton="0" quotePrefix="0" xfId="0">
      <alignment horizontal="center" vertical="center"/>
    </xf>
    <xf numFmtId="170" fontId="160" fillId="3" borderId="52" applyAlignment="1" pivotButton="0" quotePrefix="0" xfId="0">
      <alignment horizontal="center" vertical="center"/>
    </xf>
    <xf numFmtId="0" fontId="160" fillId="3" borderId="8" applyAlignment="1" pivotButton="0" quotePrefix="0" xfId="0">
      <alignment horizontal="center" vertical="center"/>
    </xf>
    <xf numFmtId="0" fontId="160" fillId="3" borderId="10" applyAlignment="1" pivotButton="0" quotePrefix="0" xfId="0">
      <alignment horizontal="center" vertical="center"/>
    </xf>
    <xf numFmtId="221" fontId="0" fillId="0" borderId="2" applyAlignment="1" pivotButton="0" quotePrefix="0" xfId="0">
      <alignment horizontal="center" vertical="center"/>
    </xf>
    <xf numFmtId="221" fontId="0" fillId="0" borderId="0" applyAlignment="1" pivotButton="0" quotePrefix="0" xfId="0">
      <alignment horizontal="center" vertical="center"/>
    </xf>
    <xf numFmtId="0" fontId="132" fillId="3" borderId="8" applyAlignment="1" pivotButton="0" quotePrefix="0" xfId="0">
      <alignment horizontal="center" vertical="center"/>
    </xf>
    <xf numFmtId="0" fontId="132" fillId="3" borderId="9" applyAlignment="1" pivotButton="0" quotePrefix="0" xfId="0">
      <alignment horizontal="center" vertical="center"/>
    </xf>
    <xf numFmtId="170" fontId="132" fillId="3" borderId="8" applyAlignment="1" pivotButton="0" quotePrefix="0" xfId="0">
      <alignment horizontal="center" vertical="center"/>
    </xf>
    <xf numFmtId="170" fontId="132" fillId="3" borderId="9" applyAlignment="1" pivotButton="0" quotePrefix="0" xfId="0">
      <alignment horizontal="center" vertical="center"/>
    </xf>
    <xf numFmtId="170" fontId="159" fillId="15" borderId="4" applyAlignment="1" pivotButton="0" quotePrefix="0" xfId="0">
      <alignment horizontal="center" vertical="center"/>
    </xf>
    <xf numFmtId="170" fontId="156" fillId="15" borderId="4" applyAlignment="1" pivotButton="0" quotePrefix="0" xfId="0">
      <alignment horizontal="center" vertical="center"/>
    </xf>
    <xf numFmtId="0" fontId="146" fillId="4" borderId="4" applyAlignment="1" pivotButton="0" quotePrefix="0" xfId="0">
      <alignment horizontal="center" vertical="center"/>
    </xf>
    <xf numFmtId="169" fontId="160" fillId="3" borderId="8" applyAlignment="1" pivotButton="0" quotePrefix="0" xfId="0">
      <alignment horizontal="center" vertical="center"/>
    </xf>
    <xf numFmtId="169" fontId="160" fillId="3" borderId="10" applyAlignment="1" pivotButton="0" quotePrefix="0" xfId="0">
      <alignment horizontal="center" vertical="center"/>
    </xf>
    <xf numFmtId="0" fontId="157" fillId="16" borderId="27" applyAlignment="1" pivotButton="0" quotePrefix="0" xfId="0">
      <alignment horizontal="center" vertical="top"/>
    </xf>
    <xf numFmtId="0" fontId="157" fillId="16" borderId="52" applyAlignment="1" pivotButton="0" quotePrefix="0" xfId="0">
      <alignment horizontal="center" vertical="top"/>
    </xf>
    <xf numFmtId="2" fontId="160" fillId="3" borderId="27" applyAlignment="1" pivotButton="0" quotePrefix="0" xfId="0">
      <alignment horizontal="center" vertical="center"/>
    </xf>
    <xf numFmtId="2" fontId="160" fillId="3" borderId="52" applyAlignment="1" pivotButton="0" quotePrefix="0" xfId="0">
      <alignment horizontal="center" vertical="center"/>
    </xf>
    <xf numFmtId="170" fontId="160" fillId="3" borderId="8" applyAlignment="1" pivotButton="0" quotePrefix="0" xfId="0">
      <alignment horizontal="center" vertical="center"/>
    </xf>
    <xf numFmtId="170" fontId="160" fillId="3" borderId="10" applyAlignment="1" pivotButton="0" quotePrefix="0" xfId="0">
      <alignment horizontal="center" vertical="center"/>
    </xf>
    <xf numFmtId="222" fontId="156" fillId="15" borderId="4" applyAlignment="1" pivotButton="0" quotePrefix="0" xfId="0">
      <alignment horizontal="center" vertical="center"/>
    </xf>
    <xf numFmtId="2" fontId="132" fillId="3" borderId="8" applyAlignment="1" pivotButton="0" quotePrefix="0" xfId="0">
      <alignment horizontal="center" vertical="center"/>
    </xf>
    <xf numFmtId="2" fontId="132" fillId="3" borderId="9" applyAlignment="1" pivotButton="0" quotePrefix="0" xfId="0">
      <alignment horizontal="center" vertical="center"/>
    </xf>
    <xf numFmtId="191" fontId="132" fillId="3" borderId="32" applyAlignment="1" pivotButton="0" quotePrefix="0" xfId="0">
      <alignment horizontal="center" vertical="center"/>
    </xf>
    <xf numFmtId="191" fontId="132" fillId="3" borderId="33" applyAlignment="1" pivotButton="0" quotePrefix="0" xfId="0">
      <alignment horizontal="center" vertical="center"/>
    </xf>
    <xf numFmtId="191" fontId="132" fillId="3" borderId="34" applyAlignment="1" pivotButton="0" quotePrefix="0" xfId="0">
      <alignment horizontal="center" vertical="center"/>
    </xf>
    <xf numFmtId="191" fontId="132" fillId="3" borderId="35" applyAlignment="1" pivotButton="0" quotePrefix="0" xfId="0">
      <alignment horizontal="center" vertical="center"/>
    </xf>
    <xf numFmtId="0" fontId="78" fillId="4" borderId="26" applyAlignment="1" pivotButton="0" quotePrefix="0" xfId="0">
      <alignment horizontal="left" vertical="center"/>
    </xf>
    <xf numFmtId="0" fontId="78" fillId="4" borderId="34" applyAlignment="1" pivotButton="0" quotePrefix="0" xfId="0">
      <alignment horizontal="left" vertical="center"/>
    </xf>
    <xf numFmtId="0" fontId="78" fillId="4" borderId="4" applyAlignment="1" pivotButton="0" quotePrefix="0" xfId="0">
      <alignment horizontal="center" vertical="center"/>
    </xf>
    <xf numFmtId="0" fontId="157" fillId="16" borderId="4" applyAlignment="1" pivotButton="0" quotePrefix="0" xfId="0">
      <alignment horizontal="center" vertical="center"/>
    </xf>
    <xf numFmtId="0" fontId="144" fillId="4" borderId="4" applyAlignment="1" pivotButton="0" quotePrefix="0" xfId="0">
      <alignment horizontal="center" vertical="center"/>
    </xf>
    <xf numFmtId="165" fontId="156" fillId="18" borderId="27" applyAlignment="1" pivotButton="0" quotePrefix="0" xfId="0">
      <alignment horizontal="center" vertical="center"/>
    </xf>
    <xf numFmtId="165" fontId="156" fillId="18" borderId="3" applyAlignment="1" pivotButton="0" quotePrefix="0" xfId="0">
      <alignment horizontal="center" vertical="center"/>
    </xf>
    <xf numFmtId="165" fontId="156" fillId="18" borderId="52" applyAlignment="1" pivotButton="0" quotePrefix="0" xfId="0">
      <alignment horizontal="center" vertical="center"/>
    </xf>
    <xf numFmtId="0" fontId="148" fillId="16" borderId="4" applyAlignment="1" pivotButton="0" quotePrefix="0" xfId="0">
      <alignment horizontal="center" vertical="center"/>
    </xf>
    <xf numFmtId="223" fontId="132" fillId="12" borderId="27" applyAlignment="1" pivotButton="0" quotePrefix="0" xfId="0">
      <alignment horizontal="center" vertical="center"/>
    </xf>
    <xf numFmtId="223" fontId="132" fillId="12" borderId="3" applyAlignment="1" pivotButton="0" quotePrefix="0" xfId="0">
      <alignment horizontal="center" vertical="center"/>
    </xf>
    <xf numFmtId="223" fontId="132" fillId="12" borderId="52" applyAlignment="1" pivotButton="0" quotePrefix="0" xfId="0">
      <alignment horizontal="center" vertical="center"/>
    </xf>
    <xf numFmtId="170" fontId="156" fillId="18" borderId="27" applyAlignment="1" pivotButton="0" quotePrefix="0" xfId="0">
      <alignment horizontal="center" vertical="center"/>
    </xf>
    <xf numFmtId="170" fontId="156" fillId="18" borderId="3" applyAlignment="1" pivotButton="0" quotePrefix="0" xfId="0">
      <alignment horizontal="center" vertical="center"/>
    </xf>
    <xf numFmtId="170" fontId="156" fillId="18" borderId="52" applyAlignment="1" pivotButton="0" quotePrefix="0" xfId="0">
      <alignment horizontal="center" vertical="center"/>
    </xf>
    <xf numFmtId="0" fontId="158" fillId="4" borderId="4" applyAlignment="1" pivotButton="0" quotePrefix="0" xfId="0">
      <alignment horizontal="center" vertical="center"/>
    </xf>
    <xf numFmtId="0" fontId="132" fillId="12" borderId="4" applyAlignment="1" pivotButton="0" quotePrefix="0" xfId="0">
      <alignment horizontal="center" vertical="center"/>
    </xf>
    <xf numFmtId="0" fontId="161" fillId="16" borderId="4" applyAlignment="1" pivotButton="0" quotePrefix="0" xfId="0">
      <alignment horizontal="center" vertical="center"/>
    </xf>
    <xf numFmtId="189" fontId="132" fillId="3" borderId="4" applyAlignment="1" pivotButton="0" quotePrefix="0" xfId="0">
      <alignment horizontal="center" vertical="center"/>
    </xf>
    <xf numFmtId="0" fontId="132" fillId="3" borderId="4" applyAlignment="1" pivotButton="0" quotePrefix="0" xfId="0">
      <alignment horizontal="center" vertical="center"/>
    </xf>
    <xf numFmtId="0" fontId="78" fillId="4" borderId="27" applyAlignment="1" pivotButton="0" quotePrefix="0" xfId="0">
      <alignment horizontal="center" vertical="center"/>
    </xf>
    <xf numFmtId="0" fontId="78" fillId="4" borderId="3" applyAlignment="1" pivotButton="0" quotePrefix="0" xfId="0">
      <alignment horizontal="center" vertical="center"/>
    </xf>
    <xf numFmtId="0" fontId="78" fillId="4" borderId="52" applyAlignment="1" pivotButton="0" quotePrefix="0" xfId="0">
      <alignment horizontal="center" vertical="center"/>
    </xf>
    <xf numFmtId="165" fontId="156" fillId="15" borderId="2" applyAlignment="1" pivotButton="0" quotePrefix="0" xfId="0">
      <alignment horizontal="center" vertical="center"/>
    </xf>
    <xf numFmtId="0" fontId="156" fillId="15" borderId="0" applyAlignment="1" pivotButton="0" quotePrefix="0" xfId="0">
      <alignment horizontal="center" vertical="center"/>
    </xf>
    <xf numFmtId="0" fontId="156" fillId="15" borderId="2" applyAlignment="1" pivotButton="0" quotePrefix="0" xfId="0">
      <alignment horizontal="center" vertical="center"/>
    </xf>
    <xf numFmtId="1" fontId="132" fillId="3" borderId="8" applyAlignment="1" pivotButton="0" quotePrefix="0" xfId="0">
      <alignment horizontal="center" vertical="center"/>
    </xf>
    <xf numFmtId="1" fontId="132" fillId="3" borderId="9" applyAlignment="1" pivotButton="0" quotePrefix="0" xfId="0">
      <alignment horizontal="center" vertical="center"/>
    </xf>
    <xf numFmtId="223" fontId="156" fillId="15" borderId="4" applyAlignment="1" pivotButton="0" quotePrefix="0" xfId="0">
      <alignment horizontal="center" vertical="center"/>
    </xf>
    <xf numFmtId="0" fontId="78" fillId="4" borderId="4" applyAlignment="1" pivotButton="0" quotePrefix="0" xfId="0">
      <alignment horizontal="center"/>
    </xf>
    <xf numFmtId="0" fontId="75" fillId="4" borderId="4" applyAlignment="1" pivotButton="0" quotePrefix="0" xfId="0">
      <alignment horizontal="center" vertical="center"/>
    </xf>
    <xf numFmtId="0" fontId="132" fillId="3" borderId="27" applyAlignment="1" pivotButton="0" quotePrefix="0" xfId="0">
      <alignment horizontal="center" vertical="center"/>
    </xf>
    <xf numFmtId="0" fontId="132" fillId="3" borderId="52" applyAlignment="1" pivotButton="0" quotePrefix="0" xfId="0">
      <alignment horizontal="center" vertical="center"/>
    </xf>
    <xf numFmtId="170" fontId="132" fillId="3" borderId="4" applyAlignment="1" pivotButton="0" quotePrefix="0" xfId="0">
      <alignment horizontal="center" vertical="center"/>
    </xf>
    <xf numFmtId="0" fontId="78" fillId="3" borderId="68" applyAlignment="1" pivotButton="0" quotePrefix="0" xfId="0">
      <alignment horizontal="center" vertical="center"/>
    </xf>
    <xf numFmtId="0" fontId="78" fillId="3" borderId="88" applyAlignment="1" pivotButton="0" quotePrefix="0" xfId="0">
      <alignment horizontal="center" vertical="center"/>
    </xf>
    <xf numFmtId="189" fontId="132" fillId="12" borderId="27" applyAlignment="1" pivotButton="0" quotePrefix="0" xfId="0">
      <alignment horizontal="center" vertical="center"/>
    </xf>
    <xf numFmtId="189" fontId="132" fillId="12" borderId="3" applyAlignment="1" pivotButton="0" quotePrefix="0" xfId="0">
      <alignment horizontal="center" vertical="center"/>
    </xf>
    <xf numFmtId="189" fontId="132" fillId="12" borderId="52" applyAlignment="1" pivotButton="0" quotePrefix="0" xfId="0">
      <alignment horizontal="center" vertical="center"/>
    </xf>
    <xf numFmtId="0" fontId="144" fillId="4" borderId="27" applyAlignment="1" pivotButton="0" quotePrefix="0" xfId="0">
      <alignment horizontal="center" vertical="center"/>
    </xf>
    <xf numFmtId="0" fontId="144" fillId="4" borderId="3" applyAlignment="1" pivotButton="0" quotePrefix="0" xfId="0">
      <alignment horizontal="center" vertical="center"/>
    </xf>
    <xf numFmtId="0" fontId="144" fillId="4" borderId="52" applyAlignment="1" pivotButton="0" quotePrefix="0" xfId="0">
      <alignment horizontal="center" vertical="center"/>
    </xf>
    <xf numFmtId="170" fontId="132" fillId="12" borderId="27" applyAlignment="1" pivotButton="0" quotePrefix="0" xfId="0">
      <alignment horizontal="center" vertical="center"/>
    </xf>
    <xf numFmtId="170" fontId="132" fillId="12" borderId="3" applyAlignment="1" pivotButton="0" quotePrefix="0" xfId="0">
      <alignment horizontal="center" vertical="center"/>
    </xf>
    <xf numFmtId="170" fontId="132" fillId="12" borderId="52" applyAlignment="1" pivotButton="0" quotePrefix="0" xfId="0">
      <alignment horizontal="center" vertical="center"/>
    </xf>
    <xf numFmtId="184" fontId="132" fillId="3" borderId="4" applyAlignment="1" pivotButton="0" quotePrefix="0" xfId="0">
      <alignment horizontal="center" vertical="center"/>
    </xf>
    <xf numFmtId="184" fontId="132" fillId="3" borderId="8" applyAlignment="1" pivotButton="0" quotePrefix="0" xfId="0">
      <alignment horizontal="center" vertical="center"/>
    </xf>
    <xf numFmtId="0" fontId="132" fillId="12" borderId="27" applyAlignment="1" pivotButton="0" quotePrefix="0" xfId="0">
      <alignment horizontal="center" vertical="center"/>
    </xf>
    <xf numFmtId="0" fontId="132" fillId="12" borderId="3" applyAlignment="1" pivotButton="0" quotePrefix="0" xfId="0">
      <alignment horizontal="center" vertical="center"/>
    </xf>
    <xf numFmtId="0" fontId="132" fillId="12" borderId="52" applyAlignment="1" pivotButton="0" quotePrefix="0" xfId="0">
      <alignment horizontal="center" vertical="center"/>
    </xf>
    <xf numFmtId="166" fontId="156" fillId="15" borderId="27" applyAlignment="1" pivotButton="0" quotePrefix="0" xfId="0">
      <alignment horizontal="center" vertical="center"/>
    </xf>
    <xf numFmtId="166" fontId="156" fillId="15" borderId="3" applyAlignment="1" pivotButton="0" quotePrefix="0" xfId="0">
      <alignment horizontal="center" vertical="center"/>
    </xf>
    <xf numFmtId="166" fontId="156" fillId="15" borderId="52" applyAlignment="1" pivotButton="0" quotePrefix="0" xfId="0">
      <alignment horizontal="center" vertical="center"/>
    </xf>
    <xf numFmtId="223" fontId="132" fillId="3" borderId="27" applyAlignment="1" pivotButton="0" quotePrefix="0" xfId="0">
      <alignment horizontal="center" vertical="center"/>
    </xf>
    <xf numFmtId="223" fontId="132" fillId="3" borderId="3" applyAlignment="1" pivotButton="0" quotePrefix="0" xfId="0">
      <alignment horizontal="center" vertical="center"/>
    </xf>
    <xf numFmtId="223" fontId="132" fillId="3" borderId="52" applyAlignment="1" pivotButton="0" quotePrefix="0" xfId="0">
      <alignment horizontal="center" vertical="center"/>
    </xf>
    <xf numFmtId="0" fontId="132" fillId="4" borderId="4" applyAlignment="1" pivotButton="0" quotePrefix="0" xfId="0">
      <alignment horizontal="center" vertical="center"/>
    </xf>
    <xf numFmtId="0" fontId="132" fillId="4" borderId="27" applyAlignment="1" pivotButton="0" quotePrefix="0" xfId="0">
      <alignment horizontal="center" vertical="center"/>
    </xf>
    <xf numFmtId="0" fontId="132" fillId="4" borderId="3" applyAlignment="1" pivotButton="0" quotePrefix="0" xfId="0">
      <alignment horizontal="center" vertical="center"/>
    </xf>
    <xf numFmtId="0" fontId="132" fillId="4" borderId="52" applyAlignment="1" pivotButton="0" quotePrefix="0" xfId="0">
      <alignment horizontal="center" vertical="center"/>
    </xf>
    <xf numFmtId="0" fontId="132" fillId="3" borderId="3" applyAlignment="1" pivotButton="0" quotePrefix="0" xfId="0">
      <alignment horizontal="center" vertical="center"/>
    </xf>
    <xf numFmtId="170" fontId="162" fillId="15" borderId="4" applyAlignment="1" pivotButton="0" quotePrefix="0" xfId="0">
      <alignment horizontal="center" vertical="center"/>
    </xf>
    <xf numFmtId="0" fontId="78" fillId="4" borderId="23" applyAlignment="1" pivotButton="0" quotePrefix="0" xfId="0">
      <alignment horizontal="left" vertical="center"/>
    </xf>
    <xf numFmtId="0" fontId="78" fillId="4" borderId="32" applyAlignment="1" pivotButton="0" quotePrefix="0" xfId="0">
      <alignment horizontal="left" vertical="center"/>
    </xf>
    <xf numFmtId="224" fontId="132" fillId="3" borderId="27" applyAlignment="1" pivotButton="0" quotePrefix="0" xfId="0">
      <alignment horizontal="center" vertical="center"/>
    </xf>
    <xf numFmtId="224" fontId="132" fillId="3" borderId="3" applyAlignment="1" pivotButton="0" quotePrefix="0" xfId="0">
      <alignment horizontal="center" vertical="center"/>
    </xf>
    <xf numFmtId="224" fontId="132" fillId="3" borderId="52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164" fontId="163" fillId="19" borderId="4" applyAlignment="1" pivotButton="0" quotePrefix="0" xfId="0">
      <alignment horizontal="right" vertical="center"/>
    </xf>
    <xf numFmtId="0" fontId="162" fillId="19" borderId="89" applyAlignment="1" pivotButton="0" quotePrefix="0" xfId="0">
      <alignment horizontal="center" vertical="center"/>
    </xf>
    <xf numFmtId="0" fontId="132" fillId="4" borderId="90" applyAlignment="1" pivotButton="0" quotePrefix="0" xfId="0">
      <alignment horizontal="center" vertical="center"/>
    </xf>
    <xf numFmtId="0" fontId="78" fillId="4" borderId="89" applyAlignment="1" pivotButton="0" quotePrefix="0" xfId="0">
      <alignment horizontal="left" vertical="center"/>
    </xf>
    <xf numFmtId="164" fontId="162" fillId="19" borderId="4" applyAlignment="1" pivotButton="0" quotePrefix="0" xfId="0">
      <alignment horizontal="center" vertical="center"/>
    </xf>
    <xf numFmtId="164" fontId="162" fillId="19" borderId="89" applyAlignment="1" pivotButton="0" quotePrefix="0" xfId="0">
      <alignment horizontal="center" vertical="center"/>
    </xf>
    <xf numFmtId="0" fontId="75" fillId="0" borderId="0" applyAlignment="1" pivotButton="0" quotePrefix="0" xfId="0">
      <alignment horizontal="left" vertical="center"/>
    </xf>
    <xf numFmtId="164" fontId="163" fillId="19" borderId="89" applyAlignment="1" pivotButton="0" quotePrefix="0" xfId="0">
      <alignment horizontal="right" vertical="center"/>
    </xf>
    <xf numFmtId="180" fontId="156" fillId="15" borderId="4" applyAlignment="1" pivotButton="0" quotePrefix="0" xfId="0">
      <alignment horizontal="center" vertical="center"/>
    </xf>
    <xf numFmtId="0" fontId="78" fillId="4" borderId="90" applyAlignment="1" pivotButton="0" quotePrefix="0" xfId="0">
      <alignment horizontal="center" vertical="center"/>
    </xf>
    <xf numFmtId="0" fontId="78" fillId="4" borderId="4" applyAlignment="1" pivotButton="0" quotePrefix="0" xfId="0">
      <alignment horizontal="left" vertical="center"/>
    </xf>
    <xf numFmtId="0" fontId="78" fillId="4" borderId="4" applyAlignment="1" pivotButton="0" quotePrefix="0" xfId="0">
      <alignment horizontal="center" vertical="center" wrapText="1"/>
    </xf>
    <xf numFmtId="0" fontId="78" fillId="4" borderId="90" applyAlignment="1" pivotButton="0" quotePrefix="0" xfId="0">
      <alignment horizontal="center" vertical="center" wrapText="1"/>
    </xf>
    <xf numFmtId="0" fontId="162" fillId="19" borderId="4" applyAlignment="1" pivotButton="0" quotePrefix="0" xfId="0">
      <alignment horizontal="center" vertical="center"/>
    </xf>
    <xf numFmtId="182" fontId="132" fillId="12" borderId="4" applyAlignment="1" pivotButton="0" quotePrefix="0" xfId="2">
      <alignment horizontal="center" vertical="center"/>
    </xf>
    <xf numFmtId="182" fontId="132" fillId="3" borderId="4" applyAlignment="1" pivotButton="0" quotePrefix="0" xfId="0">
      <alignment horizontal="center" vertical="center"/>
    </xf>
    <xf numFmtId="170" fontId="156" fillId="18" borderId="2" applyAlignment="1" pivotButton="0" quotePrefix="0" xfId="0">
      <alignment horizontal="center" vertical="center"/>
    </xf>
    <xf numFmtId="170" fontId="156" fillId="18" borderId="0" applyAlignment="1" pivotButton="0" quotePrefix="0" xfId="0">
      <alignment horizontal="center" vertical="center"/>
    </xf>
    <xf numFmtId="164" fontId="162" fillId="19" borderId="4" applyAlignment="1" pivotButton="0" quotePrefix="0" xfId="0">
      <alignment horizontal="right" vertical="center"/>
    </xf>
    <xf numFmtId="170" fontId="132" fillId="3" borderId="27" applyAlignment="1" pivotButton="0" quotePrefix="0" xfId="0">
      <alignment horizontal="center" vertical="center"/>
    </xf>
    <xf numFmtId="170" fontId="132" fillId="3" borderId="3" applyAlignment="1" pivotButton="0" quotePrefix="0" xfId="0">
      <alignment horizontal="center" vertical="center"/>
    </xf>
    <xf numFmtId="170" fontId="132" fillId="3" borderId="52" applyAlignment="1" pivotButton="0" quotePrefix="0" xfId="0">
      <alignment horizontal="center" vertical="center"/>
    </xf>
    <xf numFmtId="0" fontId="164" fillId="4" borderId="2" applyAlignment="1" pivotButton="0" quotePrefix="0" xfId="0">
      <alignment horizontal="left" vertical="center"/>
    </xf>
    <xf numFmtId="0" fontId="164" fillId="4" borderId="0" applyAlignment="1" pivotButton="0" quotePrefix="0" xfId="0">
      <alignment horizontal="left" vertical="center"/>
    </xf>
    <xf numFmtId="0" fontId="164" fillId="4" borderId="6" applyAlignment="1" pivotButton="0" quotePrefix="0" xfId="0">
      <alignment horizontal="left" vertical="center"/>
    </xf>
    <xf numFmtId="0" fontId="164" fillId="4" borderId="1" applyAlignment="1" pivotButton="0" quotePrefix="0" xfId="0">
      <alignment horizontal="left" vertical="center"/>
    </xf>
    <xf numFmtId="0" fontId="78" fillId="4" borderId="32" applyAlignment="1" pivotButton="0" quotePrefix="0" xfId="0">
      <alignment horizontal="center" vertical="center"/>
    </xf>
    <xf numFmtId="0" fontId="78" fillId="4" borderId="34" applyAlignment="1" pivotButton="0" quotePrefix="0" xfId="0">
      <alignment horizontal="center" vertical="center"/>
    </xf>
    <xf numFmtId="170" fontId="0" fillId="0" borderId="0" applyAlignment="1" pivotButton="0" quotePrefix="0" xfId="0">
      <alignment horizontal="center" vertical="center"/>
    </xf>
    <xf numFmtId="170" fontId="132" fillId="11" borderId="4" applyAlignment="1" pivotButton="0" quotePrefix="0" xfId="0">
      <alignment horizontal="center" vertical="center"/>
    </xf>
    <xf numFmtId="166" fontId="156" fillId="15" borderId="4" applyAlignment="1" pivotButton="0" quotePrefix="0" xfId="0">
      <alignment horizontal="center" vertical="center"/>
    </xf>
    <xf numFmtId="170" fontId="0" fillId="0" borderId="9" applyAlignment="1" pivotButton="0" quotePrefix="0" xfId="0">
      <alignment horizontal="center" vertical="center"/>
    </xf>
    <xf numFmtId="170" fontId="156" fillId="15" borderId="27" applyAlignment="1" pivotButton="0" quotePrefix="0" xfId="0">
      <alignment horizontal="center" vertical="center"/>
    </xf>
    <xf numFmtId="170" fontId="156" fillId="15" borderId="52" applyAlignment="1" pivotButton="0" quotePrefix="0" xfId="0">
      <alignment horizontal="center" vertical="center"/>
    </xf>
    <xf numFmtId="170" fontId="132" fillId="12" borderId="4" applyAlignment="1" pivotButton="0" quotePrefix="0" xfId="0">
      <alignment horizontal="center" vertical="center"/>
    </xf>
    <xf numFmtId="205" fontId="156" fillId="15" borderId="4" applyAlignment="1" pivotButton="0" quotePrefix="0" xfId="0">
      <alignment horizontal="center" vertical="center" shrinkToFit="1"/>
    </xf>
    <xf numFmtId="180" fontId="156" fillId="17" borderId="4" applyAlignment="1" applyProtection="1" pivotButton="0" quotePrefix="0" xfId="0">
      <alignment horizontal="center" vertical="center"/>
      <protection locked="0" hidden="0"/>
    </xf>
    <xf numFmtId="0" fontId="120" fillId="12" borderId="4" applyAlignment="1" pivotButton="0" quotePrefix="0" xfId="0">
      <alignment horizontal="center" vertical="center"/>
    </xf>
    <xf numFmtId="1" fontId="132" fillId="3" borderId="8" applyAlignment="1" pivotButton="0" quotePrefix="0" xfId="2">
      <alignment horizontal="center" vertical="center"/>
    </xf>
    <xf numFmtId="1" fontId="132" fillId="3" borderId="9" applyAlignment="1" pivotButton="0" quotePrefix="0" xfId="2">
      <alignment horizontal="center" vertical="center"/>
    </xf>
    <xf numFmtId="166" fontId="156" fillId="17" borderId="4" applyAlignment="1" applyProtection="1" pivotButton="0" quotePrefix="0" xfId="0">
      <alignment horizontal="center" vertical="center"/>
      <protection locked="0" hidden="0"/>
    </xf>
    <xf numFmtId="165" fontId="156" fillId="15" borderId="4" applyAlignment="1" pivotButton="0" quotePrefix="0" xfId="0">
      <alignment horizontal="center" vertical="center" shrinkToFit="1"/>
    </xf>
    <xf numFmtId="166" fontId="160" fillId="3" borderId="8" applyAlignment="1" pivotButton="0" quotePrefix="0" xfId="0">
      <alignment horizontal="center" vertical="center"/>
    </xf>
    <xf numFmtId="166" fontId="160" fillId="3" borderId="10" applyAlignment="1" pivotButton="0" quotePrefix="0" xfId="0">
      <alignment horizontal="center" vertical="center"/>
    </xf>
    <xf numFmtId="170" fontId="156" fillId="15" borderId="2" applyAlignment="1" pivotButton="0" quotePrefix="0" xfId="0">
      <alignment horizontal="center" vertical="center"/>
    </xf>
    <xf numFmtId="170" fontId="156" fillId="15" borderId="0" applyAlignment="1" pivotButton="0" quotePrefix="0" xfId="0">
      <alignment horizontal="center" vertical="center"/>
    </xf>
    <xf numFmtId="0" fontId="144" fillId="4" borderId="4" applyAlignment="1" pivotButton="0" quotePrefix="0" xfId="0">
      <alignment horizontal="center"/>
    </xf>
    <xf numFmtId="0" fontId="120" fillId="3" borderId="4" applyAlignment="1" pivotButton="0" quotePrefix="0" xfId="0">
      <alignment horizontal="center" vertical="center"/>
    </xf>
    <xf numFmtId="225" fontId="160" fillId="3" borderId="4" applyAlignment="1" pivotButton="0" quotePrefix="0" xfId="2">
      <alignment horizontal="center" vertical="center"/>
    </xf>
    <xf numFmtId="165" fontId="160" fillId="3" borderId="8" applyAlignment="1" pivotButton="0" quotePrefix="0" xfId="0">
      <alignment horizontal="center" vertical="center"/>
    </xf>
    <xf numFmtId="165" fontId="160" fillId="3" borderId="10" applyAlignment="1" pivotButton="0" quotePrefix="0" xfId="0">
      <alignment horizontal="center" vertical="center"/>
    </xf>
    <xf numFmtId="205" fontId="160" fillId="3" borderId="8" applyAlignment="1" pivotButton="0" quotePrefix="0" xfId="0">
      <alignment horizontal="center" vertical="center"/>
    </xf>
    <xf numFmtId="205" fontId="160" fillId="3" borderId="10" applyAlignment="1" pivotButton="0" quotePrefix="0" xfId="0">
      <alignment horizontal="center" vertical="center"/>
    </xf>
    <xf numFmtId="180" fontId="160" fillId="3" borderId="8" applyAlignment="1" pivotButton="0" quotePrefix="0" xfId="0">
      <alignment horizontal="center" vertical="center"/>
    </xf>
    <xf numFmtId="180" fontId="160" fillId="3" borderId="10" applyAlignment="1" pivotButton="0" quotePrefix="0" xfId="0">
      <alignment horizontal="center" vertical="center"/>
    </xf>
    <xf numFmtId="0" fontId="75" fillId="12" borderId="4" applyAlignment="1" pivotButton="0" quotePrefix="0" xfId="0">
      <alignment horizontal="center" vertical="center"/>
    </xf>
    <xf numFmtId="164" fontId="163" fillId="19" borderId="91" applyAlignment="1" pivotButton="0" quotePrefix="0" xfId="0">
      <alignment horizontal="right" vertical="center"/>
    </xf>
    <xf numFmtId="164" fontId="162" fillId="19" borderId="91" applyAlignment="1" pivotButton="0" quotePrefix="0" xfId="0">
      <alignment horizontal="right" vertical="center"/>
    </xf>
    <xf numFmtId="0" fontId="78" fillId="4" borderId="91" applyAlignment="1" pivotButton="0" quotePrefix="0" xfId="0">
      <alignment horizontal="center" vertical="center"/>
    </xf>
    <xf numFmtId="0" fontId="78" fillId="4" borderId="92" applyAlignment="1" pivotButton="0" quotePrefix="0" xfId="0">
      <alignment horizontal="center" vertical="center"/>
    </xf>
    <xf numFmtId="184" fontId="132" fillId="12" borderId="27" applyAlignment="1" pivotButton="0" quotePrefix="0" xfId="0">
      <alignment horizontal="center" vertical="center"/>
    </xf>
    <xf numFmtId="184" fontId="132" fillId="12" borderId="3" applyAlignment="1" pivotButton="0" quotePrefix="0" xfId="0">
      <alignment horizontal="center" vertical="center"/>
    </xf>
    <xf numFmtId="184" fontId="132" fillId="12" borderId="52" applyAlignment="1" pivotButton="0" quotePrefix="0" xfId="0">
      <alignment horizontal="center" vertical="center"/>
    </xf>
    <xf numFmtId="170" fontId="162" fillId="15" borderId="93" applyAlignment="1" pivotButton="0" quotePrefix="0" xfId="0">
      <alignment horizontal="center" vertical="center"/>
    </xf>
    <xf numFmtId="0" fontId="78" fillId="4" borderId="94" applyAlignment="1" pivotButton="0" quotePrefix="0" xfId="0">
      <alignment horizontal="center" vertical="center"/>
    </xf>
    <xf numFmtId="0" fontId="78" fillId="4" borderId="95" applyAlignment="1" pivotButton="0" quotePrefix="0" xfId="0">
      <alignment horizontal="center" vertical="center"/>
    </xf>
    <xf numFmtId="0" fontId="162" fillId="19" borderId="91" applyAlignment="1" pivotButton="0" quotePrefix="0" xfId="0">
      <alignment horizontal="center" vertical="center"/>
    </xf>
    <xf numFmtId="0" fontId="78" fillId="4" borderId="98" applyAlignment="1" pivotButton="0" quotePrefix="0" xfId="0">
      <alignment horizontal="center" vertical="center"/>
    </xf>
    <xf numFmtId="170" fontId="163" fillId="15" borderId="93" applyAlignment="1" pivotButton="0" quotePrefix="0" xfId="0">
      <alignment horizontal="center" vertical="center"/>
    </xf>
    <xf numFmtId="0" fontId="78" fillId="3" borderId="94" applyAlignment="1" pivotButton="0" quotePrefix="0" xfId="0">
      <alignment horizontal="center" vertical="center"/>
    </xf>
    <xf numFmtId="0" fontId="78" fillId="3" borderId="99" applyAlignment="1" pivotButton="0" quotePrefix="0" xfId="0">
      <alignment horizontal="center" vertical="center"/>
    </xf>
    <xf numFmtId="0" fontId="78" fillId="3" borderId="95" applyAlignment="1" pivotButton="0" quotePrefix="0" xfId="0">
      <alignment horizontal="center" vertical="center"/>
    </xf>
    <xf numFmtId="0" fontId="78" fillId="3" borderId="100" applyAlignment="1" pivotButton="0" quotePrefix="0" xfId="0">
      <alignment horizontal="center" vertical="center"/>
    </xf>
    <xf numFmtId="191" fontId="132" fillId="3" borderId="94" applyAlignment="1" pivotButton="0" quotePrefix="0" xfId="0">
      <alignment horizontal="center" vertical="center"/>
    </xf>
    <xf numFmtId="191" fontId="132" fillId="3" borderId="95" applyAlignment="1" pivotButton="0" quotePrefix="0" xfId="0">
      <alignment horizontal="center" vertical="center"/>
    </xf>
    <xf numFmtId="164" fontId="163" fillId="19" borderId="89" applyAlignment="1" pivotButton="0" quotePrefix="0" xfId="0">
      <alignment horizontal="center" vertical="center"/>
    </xf>
    <xf numFmtId="0" fontId="78" fillId="4" borderId="89" applyAlignment="1" pivotButton="0" quotePrefix="0" xfId="0">
      <alignment horizontal="center" vertical="center" wrapText="1"/>
    </xf>
    <xf numFmtId="0" fontId="78" fillId="4" borderId="91" applyAlignment="1" pivotButton="0" quotePrefix="0" xfId="0">
      <alignment horizontal="left" vertical="center"/>
    </xf>
    <xf numFmtId="0" fontId="78" fillId="12" borderId="94" applyAlignment="1" pivotButton="0" quotePrefix="0" xfId="0">
      <alignment horizontal="center" vertical="center"/>
    </xf>
    <xf numFmtId="0" fontId="78" fillId="12" borderId="95" applyAlignment="1" pivotButton="0" quotePrefix="0" xfId="0">
      <alignment horizontal="center" vertical="center"/>
    </xf>
    <xf numFmtId="0" fontId="78" fillId="4" borderId="96" applyAlignment="1" pivotButton="0" quotePrefix="0" xfId="0">
      <alignment horizontal="center" vertical="center"/>
    </xf>
    <xf numFmtId="0" fontId="78" fillId="4" borderId="97" applyAlignment="1" pivotButton="0" quotePrefix="0" xfId="0">
      <alignment horizontal="center" vertical="center"/>
    </xf>
    <xf numFmtId="170" fontId="163" fillId="15" borderId="4" applyAlignment="1" pivotButton="0" quotePrefix="0" xfId="0">
      <alignment horizontal="center" vertical="center"/>
    </xf>
    <xf numFmtId="0" fontId="114" fillId="0" borderId="49" applyAlignment="1" pivotButton="0" quotePrefix="0" xfId="4">
      <alignment horizontal="center" vertical="center"/>
    </xf>
    <xf numFmtId="0" fontId="114" fillId="0" borderId="50" applyAlignment="1" pivotButton="0" quotePrefix="0" xfId="4">
      <alignment horizontal="center" vertical="center"/>
    </xf>
    <xf numFmtId="0" fontId="114" fillId="0" borderId="51" applyAlignment="1" pivotButton="0" quotePrefix="0" xfId="4">
      <alignment horizontal="center" vertical="center"/>
    </xf>
    <xf numFmtId="0" fontId="8" fillId="0" borderId="91" applyAlignment="1" pivotButton="0" quotePrefix="0" xfId="6">
      <alignment horizontal="center" vertical="center"/>
    </xf>
    <xf numFmtId="0" fontId="8" fillId="0" borderId="98" applyAlignment="1" pivotButton="0" quotePrefix="0" xfId="6">
      <alignment horizontal="center" vertical="center"/>
    </xf>
    <xf numFmtId="0" fontId="8" fillId="0" borderId="89" applyAlignment="1" pivotButton="0" quotePrefix="0" xfId="6">
      <alignment horizontal="center" vertical="center"/>
    </xf>
    <xf numFmtId="0" fontId="195" fillId="0" borderId="1" applyAlignment="1" pivotButton="0" quotePrefix="0" xfId="6">
      <alignment horizontal="center" vertical="center"/>
    </xf>
    <xf numFmtId="0" fontId="0" fillId="0" borderId="1" pivotButton="0" quotePrefix="0" xfId="0"/>
    <xf numFmtId="0" fontId="83" fillId="0" borderId="29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52" pivotButton="0" quotePrefix="0" xfId="0"/>
    <xf numFmtId="0" fontId="83" fillId="0" borderId="293" applyAlignment="1" pivotButton="0" quotePrefix="0" xfId="0">
      <alignment horizontal="center" vertical="center" shrinkToFit="1"/>
    </xf>
    <xf numFmtId="191" fontId="167" fillId="0" borderId="3" applyAlignment="1" pivotButton="0" quotePrefix="0" xfId="5">
      <alignment horizontal="center" vertical="center"/>
    </xf>
    <xf numFmtId="168" fontId="83" fillId="0" borderId="27" applyAlignment="1" pivotButton="0" quotePrefix="0" xfId="0">
      <alignment horizontal="center" vertical="center"/>
    </xf>
    <xf numFmtId="168" fontId="83" fillId="0" borderId="2" applyAlignment="1" pivotButton="0" quotePrefix="0" xfId="0">
      <alignment vertical="center"/>
    </xf>
    <xf numFmtId="168" fontId="83" fillId="0" borderId="0" applyAlignment="1" pivotButton="0" quotePrefix="0" xfId="0">
      <alignment vertical="center"/>
    </xf>
    <xf numFmtId="0" fontId="83" fillId="0" borderId="290" applyAlignment="1" pivotButton="0" quotePrefix="0" xfId="0">
      <alignment horizontal="center" vertical="center" shrinkToFit="1"/>
    </xf>
    <xf numFmtId="0" fontId="0" fillId="0" borderId="9" pivotButton="0" quotePrefix="0" xfId="0"/>
    <xf numFmtId="0" fontId="0" fillId="0" borderId="10" pivotButton="0" quotePrefix="0" xfId="0"/>
    <xf numFmtId="166" fontId="83" fillId="0" borderId="27" applyAlignment="1" pivotButton="0" quotePrefix="0" xfId="0">
      <alignment horizontal="center" vertical="center"/>
    </xf>
    <xf numFmtId="166" fontId="83" fillId="0" borderId="2" applyAlignment="1" pivotButton="0" quotePrefix="0" xfId="0">
      <alignment vertical="center"/>
    </xf>
    <xf numFmtId="166" fontId="83" fillId="0" borderId="0" applyAlignment="1" pivotButton="0" quotePrefix="0" xfId="0">
      <alignment vertical="center"/>
    </xf>
    <xf numFmtId="0" fontId="83" fillId="0" borderId="89" applyAlignment="1" pivotButton="0" quotePrefix="0" xfId="0">
      <alignment horizontal="center" vertical="center" shrinkToFit="1"/>
    </xf>
    <xf numFmtId="0" fontId="0" fillId="0" borderId="7" pivotButton="0" quotePrefix="0" xfId="0"/>
    <xf numFmtId="0" fontId="0" fillId="0" borderId="6" pivotButton="0" quotePrefix="0" xfId="0"/>
    <xf numFmtId="166" fontId="83" fillId="0" borderId="293" applyAlignment="1" pivotButton="0" quotePrefix="0" xfId="0">
      <alignment horizontal="center" vertical="center"/>
    </xf>
    <xf numFmtId="170" fontId="83" fillId="0" borderId="27" applyAlignment="1" pivotButton="0" quotePrefix="0" xfId="0">
      <alignment horizontal="center" vertical="center"/>
    </xf>
    <xf numFmtId="169" fontId="83" fillId="0" borderId="5" applyAlignment="1" pivotButton="0" quotePrefix="0" xfId="0">
      <alignment horizontal="left" vertical="center"/>
    </xf>
    <xf numFmtId="169" fontId="83" fillId="0" borderId="7" applyAlignment="1" pivotButton="0" quotePrefix="0" xfId="0">
      <alignment horizontal="left" vertical="center"/>
    </xf>
    <xf numFmtId="2" fontId="83" fillId="0" borderId="293" applyAlignment="1" pivotButton="0" quotePrefix="0" xfId="0">
      <alignment horizontal="center" vertical="center"/>
    </xf>
    <xf numFmtId="170" fontId="83" fillId="0" borderId="293" applyAlignment="1" pivotButton="0" quotePrefix="0" xfId="0">
      <alignment horizontal="center" vertical="center"/>
    </xf>
    <xf numFmtId="166" fontId="83" fillId="0" borderId="52" applyAlignment="1" pivotButton="0" quotePrefix="0" xfId="0">
      <alignment horizontal="center" vertical="center"/>
    </xf>
    <xf numFmtId="191" fontId="83" fillId="0" borderId="293" applyAlignment="1" pivotButton="0" quotePrefix="0" xfId="0">
      <alignment horizontal="center" vertical="center"/>
    </xf>
    <xf numFmtId="0" fontId="81" fillId="0" borderId="290" applyAlignment="1" pivotButton="0" quotePrefix="0" xfId="0">
      <alignment horizontal="center" vertical="center"/>
    </xf>
    <xf numFmtId="0" fontId="0" fillId="0" borderId="5" pivotButton="0" quotePrefix="0" xfId="0"/>
    <xf numFmtId="0" fontId="104" fillId="0" borderId="293" applyAlignment="1" pivotButton="0" quotePrefix="0" xfId="0">
      <alignment horizontal="center" vertical="center"/>
    </xf>
    <xf numFmtId="0" fontId="75" fillId="0" borderId="293" applyAlignment="1" pivotButton="0" quotePrefix="0" xfId="0">
      <alignment horizontal="center" vertical="center"/>
    </xf>
    <xf numFmtId="1" fontId="75" fillId="0" borderId="293" applyAlignment="1" pivotButton="0" quotePrefix="0" xfId="0">
      <alignment horizontal="center" vertical="center"/>
    </xf>
    <xf numFmtId="169" fontId="75" fillId="0" borderId="293" applyAlignment="1" pivotButton="0" quotePrefix="0" xfId="0">
      <alignment horizontal="center" vertical="center"/>
    </xf>
    <xf numFmtId="191" fontId="75" fillId="0" borderId="293" applyAlignment="1" pivotButton="0" quotePrefix="0" xfId="0">
      <alignment horizontal="center" vertical="center"/>
    </xf>
    <xf numFmtId="170" fontId="75" fillId="0" borderId="293" applyAlignment="1" pivotButton="0" quotePrefix="0" xfId="0">
      <alignment horizontal="center" vertical="center"/>
    </xf>
    <xf numFmtId="168" fontId="75" fillId="0" borderId="0" applyAlignment="1" pivotButton="0" quotePrefix="0" xfId="0">
      <alignment horizontal="center" vertical="center"/>
    </xf>
    <xf numFmtId="0" fontId="0" fillId="0" borderId="293" applyAlignment="1" pivotButton="0" quotePrefix="0" xfId="0">
      <alignment horizontal="center" vertical="center"/>
    </xf>
    <xf numFmtId="168" fontId="75" fillId="0" borderId="9" applyAlignment="1" pivotButton="0" quotePrefix="0" xfId="0">
      <alignment horizontal="center" vertical="center"/>
    </xf>
    <xf numFmtId="166" fontId="78" fillId="0" borderId="0" applyAlignment="1" pivotButton="0" quotePrefix="0" xfId="0">
      <alignment horizontal="center" vertical="center"/>
    </xf>
    <xf numFmtId="0" fontId="0" fillId="0" borderId="2" pivotButton="0" quotePrefix="0" xfId="0"/>
    <xf numFmtId="170" fontId="82" fillId="0" borderId="1" applyAlignment="1" pivotButton="0" quotePrefix="0" xfId="0">
      <alignment horizontal="center" vertical="center" shrinkToFit="1"/>
    </xf>
    <xf numFmtId="170" fontId="82" fillId="0" borderId="0" applyAlignment="1" pivotButton="0" quotePrefix="0" xfId="0">
      <alignment vertical="center"/>
    </xf>
    <xf numFmtId="166" fontId="82" fillId="0" borderId="0" applyAlignment="1" pivotButton="0" quotePrefix="0" xfId="0">
      <alignment vertical="center"/>
    </xf>
    <xf numFmtId="0" fontId="0" fillId="0" borderId="13" pivotButton="0" quotePrefix="0" xfId="0"/>
    <xf numFmtId="170" fontId="82" fillId="0" borderId="37" applyAlignment="1" pivotButton="0" quotePrefix="0" xfId="0">
      <alignment horizontal="center" vertical="center"/>
    </xf>
    <xf numFmtId="166" fontId="82" fillId="0" borderId="1" applyAlignment="1" pivotButton="0" quotePrefix="0" xfId="0">
      <alignment horizontal="center" vertical="center"/>
    </xf>
    <xf numFmtId="166" fontId="82" fillId="0" borderId="3" applyAlignment="1" pivotButton="0" quotePrefix="0" xfId="0">
      <alignment horizontal="center" vertical="center"/>
    </xf>
    <xf numFmtId="166" fontId="75" fillId="0" borderId="9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205" fontId="78" fillId="0" borderId="1" applyAlignment="1" pivotButton="0" quotePrefix="0" xfId="0">
      <alignment horizontal="center" vertical="center" shrinkToFit="1"/>
    </xf>
    <xf numFmtId="169" fontId="0" fillId="0" borderId="1" applyAlignment="1" pivotButton="0" quotePrefix="0" xfId="0">
      <alignment horizontal="center" vertical="center"/>
    </xf>
    <xf numFmtId="169" fontId="0" fillId="0" borderId="0" applyAlignment="1" pivotButton="0" quotePrefix="0" xfId="0">
      <alignment vertical="center"/>
    </xf>
    <xf numFmtId="169" fontId="0" fillId="0" borderId="3" applyAlignment="1" pivotButton="0" quotePrefix="0" xfId="0">
      <alignment horizontal="center" vertical="center"/>
    </xf>
    <xf numFmtId="166" fontId="0" fillId="0" borderId="3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8" pivotButton="0" quotePrefix="0" xfId="0"/>
    <xf numFmtId="0" fontId="0" fillId="0" borderId="16" pivotButton="0" quotePrefix="0" xfId="0"/>
    <xf numFmtId="166" fontId="0" fillId="0" borderId="0" applyAlignment="1" pivotButton="0" quotePrefix="0" xfId="0">
      <alignment horizontal="center" vertical="center"/>
    </xf>
    <xf numFmtId="214" fontId="0" fillId="0" borderId="9" applyAlignment="1" pivotButton="0" quotePrefix="0" xfId="0">
      <alignment horizontal="left" vertical="center"/>
    </xf>
    <xf numFmtId="205" fontId="0" fillId="0" borderId="0" applyAlignment="1" pivotButton="0" quotePrefix="0" xfId="0">
      <alignment horizontal="center" vertical="center"/>
    </xf>
    <xf numFmtId="191" fontId="0" fillId="0" borderId="0" applyAlignment="1" pivotButton="0" quotePrefix="0" xfId="0">
      <alignment horizontal="center" vertical="center" shrinkToFit="1"/>
    </xf>
    <xf numFmtId="166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 shrinkToFit="1"/>
    </xf>
    <xf numFmtId="205" fontId="0" fillId="0" borderId="9" applyAlignment="1" pivotButton="0" quotePrefix="0" xfId="0">
      <alignment horizontal="center" vertical="center"/>
    </xf>
    <xf numFmtId="182" fontId="0" fillId="0" borderId="0" applyAlignment="1" pivotButton="0" quotePrefix="0" xfId="0">
      <alignment horizontal="center" vertical="center"/>
    </xf>
    <xf numFmtId="205" fontId="0" fillId="0" borderId="1" applyAlignment="1" pivotButton="0" quotePrefix="0" xfId="0">
      <alignment horizontal="center" vertical="center"/>
    </xf>
    <xf numFmtId="215" fontId="0" fillId="0" borderId="10" applyAlignment="1" pivotButton="0" quotePrefix="0" xfId="0">
      <alignment horizontal="left" vertical="center"/>
    </xf>
    <xf numFmtId="201" fontId="82" fillId="0" borderId="1" applyAlignment="1" pivotButton="0" quotePrefix="0" xfId="2">
      <alignment horizontal="center" vertical="center"/>
    </xf>
  </cellXfs>
  <cellStyles count="1034">
    <cellStyle name="표준" xfId="0" builtinId="0"/>
    <cellStyle name="Normal_IsoKinetic Data" xfId="1"/>
    <cellStyle name="쉼표 [0]" xfId="2" builtinId="6"/>
    <cellStyle name="쉼표 [0] 2" xfId="3"/>
    <cellStyle name="표준 2" xfId="4"/>
    <cellStyle name="표준_Sheet1" xfId="5"/>
    <cellStyle name="표준 3" xfId="6"/>
    <cellStyle name="Default" xfId="7"/>
    <cellStyle name="표준 4" xfId="8"/>
    <cellStyle name="표준 3 3" xfId="9"/>
    <cellStyle name="표준 4 3" xfId="10"/>
    <cellStyle name="표준 3 2" xfId="11"/>
    <cellStyle name="표준 4 2" xfId="12"/>
    <cellStyle name="표준 3 4" xfId="13"/>
    <cellStyle name="표준 4 4" xfId="14"/>
    <cellStyle name="표준 3 3 2" xfId="15"/>
    <cellStyle name="표준 4 3 2" xfId="16"/>
    <cellStyle name="표준 3 2 2" xfId="17"/>
    <cellStyle name="표준 4 2 2" xfId="18"/>
    <cellStyle name="표준 5" xfId="19"/>
    <cellStyle name="표준 7" xfId="20"/>
    <cellStyle name="표준 6" xfId="21"/>
    <cellStyle name="쉼표 [0] 3" xfId="22"/>
    <cellStyle name="표준 3 5" xfId="23"/>
    <cellStyle name="표준 4 5" xfId="24"/>
    <cellStyle name="표준 3 3 3" xfId="25"/>
    <cellStyle name="표준 4 3 3" xfId="26"/>
    <cellStyle name="표준 3 2 3" xfId="27"/>
    <cellStyle name="표준 4 2 3" xfId="28"/>
    <cellStyle name="표준 3 4 2" xfId="29"/>
    <cellStyle name="표준 4 4 2" xfId="30"/>
    <cellStyle name="표준 3 3 2 2" xfId="31"/>
    <cellStyle name="표준 4 3 2 2" xfId="32"/>
    <cellStyle name="표준 3 2 2 2" xfId="33"/>
    <cellStyle name="표준 4 2 2 2" xfId="34"/>
    <cellStyle name="하이퍼링크" xfId="35" builtinId="8"/>
    <cellStyle name="표준 6 2" xfId="36"/>
    <cellStyle name="표준 3 10" xfId="37"/>
    <cellStyle name="표준 3 10 2" xfId="38"/>
    <cellStyle name="표준 3 11" xfId="39"/>
    <cellStyle name="표준 3 2 2 2 2" xfId="40"/>
    <cellStyle name="표준 3 2 2 2 2 2" xfId="41"/>
    <cellStyle name="표준 3 2 2 2 3" xfId="42"/>
    <cellStyle name="표준 3 2 2 3" xfId="43"/>
    <cellStyle name="표준 3 2 2 3 2" xfId="44"/>
    <cellStyle name="표준 3 2 2 3 2 2" xfId="45"/>
    <cellStyle name="표준 3 2 2 3 3" xfId="46"/>
    <cellStyle name="표준 3 2 2 4" xfId="47"/>
    <cellStyle name="표준 3 2 2 4 2" xfId="48"/>
    <cellStyle name="표준 3 2 2 5" xfId="49"/>
    <cellStyle name="표준 3 2 2 5 2" xfId="50"/>
    <cellStyle name="표준 3 2 2 6" xfId="51"/>
    <cellStyle name="표준 3 2 2 6 2" xfId="52"/>
    <cellStyle name="표준 3 2 2 7" xfId="53"/>
    <cellStyle name="표준 3 2 3 2" xfId="54"/>
    <cellStyle name="표준 3 2 3 2 2" xfId="55"/>
    <cellStyle name="표준 3 2 3 3" xfId="56"/>
    <cellStyle name="표준 3 2 4" xfId="57"/>
    <cellStyle name="표준 3 2 4 2" xfId="58"/>
    <cellStyle name="표준 3 2 4 2 2" xfId="59"/>
    <cellStyle name="표준 3 2 4 3" xfId="60"/>
    <cellStyle name="표준 3 2 5" xfId="61"/>
    <cellStyle name="표준 3 2 5 2" xfId="62"/>
    <cellStyle name="표준 3 2 6" xfId="63"/>
    <cellStyle name="표준 3 2 6 2" xfId="64"/>
    <cellStyle name="표준 3 2 7" xfId="65"/>
    <cellStyle name="표준 3 2 7 2" xfId="66"/>
    <cellStyle name="표준 3 2 8" xfId="67"/>
    <cellStyle name="표준 3 2 8 2" xfId="68"/>
    <cellStyle name="표준 3 2 9" xfId="69"/>
    <cellStyle name="표준 3 3 2 2 2" xfId="70"/>
    <cellStyle name="표준 3 3 2 2 2 2" xfId="71"/>
    <cellStyle name="표준 3 3 2 2 3" xfId="72"/>
    <cellStyle name="표준 3 3 2 3" xfId="73"/>
    <cellStyle name="표준 3 3 2 3 2" xfId="74"/>
    <cellStyle name="표준 3 3 2 3 2 2" xfId="75"/>
    <cellStyle name="표준 3 3 2 3 3" xfId="76"/>
    <cellStyle name="표준 3 3 2 4" xfId="77"/>
    <cellStyle name="표준 3 3 2 4 2" xfId="78"/>
    <cellStyle name="표준 3 3 2 5" xfId="79"/>
    <cellStyle name="표준 3 3 2 5 2" xfId="80"/>
    <cellStyle name="표준 3 3 2 6" xfId="81"/>
    <cellStyle name="표준 3 3 2 6 2" xfId="82"/>
    <cellStyle name="표준 3 3 2 7" xfId="83"/>
    <cellStyle name="표준 3 3 3 2" xfId="84"/>
    <cellStyle name="표준 3 3 3 2 2" xfId="85"/>
    <cellStyle name="표준 3 3 3 3" xfId="86"/>
    <cellStyle name="표준 3 3 4" xfId="87"/>
    <cellStyle name="표준 3 3 4 2" xfId="88"/>
    <cellStyle name="표준 3 3 4 2 2" xfId="89"/>
    <cellStyle name="표준 3 3 4 3" xfId="90"/>
    <cellStyle name="표준 3 3 5" xfId="91"/>
    <cellStyle name="표준 3 3 5 2" xfId="92"/>
    <cellStyle name="표준 3 3 6" xfId="93"/>
    <cellStyle name="표준 3 3 6 2" xfId="94"/>
    <cellStyle name="표준 3 3 7" xfId="95"/>
    <cellStyle name="표준 3 3 7 2" xfId="96"/>
    <cellStyle name="표준 3 3 8" xfId="97"/>
    <cellStyle name="표준 3 3 8 2" xfId="98"/>
    <cellStyle name="표준 3 3 9" xfId="99"/>
    <cellStyle name="표준 3 4 2 2" xfId="100"/>
    <cellStyle name="표준 3 4 2 2 2" xfId="101"/>
    <cellStyle name="표준 3 4 2 3" xfId="102"/>
    <cellStyle name="표준 3 4 3" xfId="103"/>
    <cellStyle name="표준 3 4 3 2" xfId="104"/>
    <cellStyle name="표준 3 4 3 2 2" xfId="105"/>
    <cellStyle name="표준 3 4 3 3" xfId="106"/>
    <cellStyle name="표준 3 4 4" xfId="107"/>
    <cellStyle name="표준 3 4 4 2" xfId="108"/>
    <cellStyle name="표준 3 4 5" xfId="109"/>
    <cellStyle name="표준 3 4 5 2" xfId="110"/>
    <cellStyle name="표준 3 4 6" xfId="111"/>
    <cellStyle name="표준 3 4 6 2" xfId="112"/>
    <cellStyle name="표준 3 4 7" xfId="113"/>
    <cellStyle name="표준 3 5 2" xfId="114"/>
    <cellStyle name="표준 3 5 2 2" xfId="115"/>
    <cellStyle name="표준 3 5 3" xfId="116"/>
    <cellStyle name="표준 3 6" xfId="117"/>
    <cellStyle name="표준 3 6 2" xfId="118"/>
    <cellStyle name="표준 3 6 2 2" xfId="119"/>
    <cellStyle name="표준 3 6 3" xfId="120"/>
    <cellStyle name="표준 3 7" xfId="121"/>
    <cellStyle name="표준 3 7 2" xfId="122"/>
    <cellStyle name="표준 3 8" xfId="123"/>
    <cellStyle name="표준 3 8 2" xfId="124"/>
    <cellStyle name="표준 3 9" xfId="125"/>
    <cellStyle name="표준 3 9 2" xfId="126"/>
    <cellStyle name="표준 4 10" xfId="127"/>
    <cellStyle name="표준 4 10 2" xfId="128"/>
    <cellStyle name="표준 4 11" xfId="129"/>
    <cellStyle name="표준 4 2 2 2 2" xfId="130"/>
    <cellStyle name="표준 4 2 2 2 2 2" xfId="131"/>
    <cellStyle name="표준 4 2 2 2 3" xfId="132"/>
    <cellStyle name="표준 4 2 2 3" xfId="133"/>
    <cellStyle name="표준 4 2 2 3 2" xfId="134"/>
    <cellStyle name="표준 4 2 2 3 2 2" xfId="135"/>
    <cellStyle name="표준 4 2 2 3 3" xfId="136"/>
    <cellStyle name="표준 4 2 2 4" xfId="137"/>
    <cellStyle name="표준 4 2 2 4 2" xfId="138"/>
    <cellStyle name="표준 4 2 2 5" xfId="139"/>
    <cellStyle name="표준 4 2 2 5 2" xfId="140"/>
    <cellStyle name="표준 4 2 2 6" xfId="141"/>
    <cellStyle name="표준 4 2 2 6 2" xfId="142"/>
    <cellStyle name="표준 4 2 2 7" xfId="143"/>
    <cellStyle name="표준 4 2 3 2" xfId="144"/>
    <cellStyle name="표준 4 2 3 2 2" xfId="145"/>
    <cellStyle name="표준 4 2 3 3" xfId="146"/>
    <cellStyle name="표준 4 2 4" xfId="147"/>
    <cellStyle name="표준 4 2 4 2" xfId="148"/>
    <cellStyle name="표준 4 2 4 2 2" xfId="149"/>
    <cellStyle name="표준 4 2 4 3" xfId="150"/>
    <cellStyle name="표준 4 2 5" xfId="151"/>
    <cellStyle name="표준 4 2 5 2" xfId="152"/>
    <cellStyle name="표준 4 2 6" xfId="153"/>
    <cellStyle name="표준 4 2 6 2" xfId="154"/>
    <cellStyle name="표준 4 2 7" xfId="155"/>
    <cellStyle name="표준 4 2 7 2" xfId="156"/>
    <cellStyle name="표준 4 2 8" xfId="157"/>
    <cellStyle name="표준 4 2 8 2" xfId="158"/>
    <cellStyle name="표준 4 2 9" xfId="159"/>
    <cellStyle name="표준 4 3 2 2 2" xfId="160"/>
    <cellStyle name="표준 4 3 2 2 2 2" xfId="161"/>
    <cellStyle name="표준 4 3 2 2 3" xfId="162"/>
    <cellStyle name="표준 4 3 2 3" xfId="163"/>
    <cellStyle name="표준 4 3 2 3 2" xfId="164"/>
    <cellStyle name="표준 4 3 2 3 2 2" xfId="165"/>
    <cellStyle name="표준 4 3 2 3 3" xfId="166"/>
    <cellStyle name="표준 4 3 2 4" xfId="167"/>
    <cellStyle name="표준 4 3 2 4 2" xfId="168"/>
    <cellStyle name="표준 4 3 2 5" xfId="169"/>
    <cellStyle name="표준 4 3 2 5 2" xfId="170"/>
    <cellStyle name="표준 4 3 2 6" xfId="171"/>
    <cellStyle name="표준 4 3 2 6 2" xfId="172"/>
    <cellStyle name="표준 4 3 2 7" xfId="173"/>
    <cellStyle name="표준 4 3 3 2" xfId="174"/>
    <cellStyle name="표준 4 3 3 2 2" xfId="175"/>
    <cellStyle name="표준 4 3 3 3" xfId="176"/>
    <cellStyle name="표준 4 3 4" xfId="177"/>
    <cellStyle name="표준 4 3 4 2" xfId="178"/>
    <cellStyle name="표준 4 3 4 2 2" xfId="179"/>
    <cellStyle name="표준 4 3 4 3" xfId="180"/>
    <cellStyle name="표준 4 3 5" xfId="181"/>
    <cellStyle name="표준 4 3 5 2" xfId="182"/>
    <cellStyle name="표준 4 3 6" xfId="183"/>
    <cellStyle name="표준 4 3 6 2" xfId="184"/>
    <cellStyle name="표준 4 3 7" xfId="185"/>
    <cellStyle name="표준 4 3 7 2" xfId="186"/>
    <cellStyle name="표준 4 3 8" xfId="187"/>
    <cellStyle name="표준 4 3 8 2" xfId="188"/>
    <cellStyle name="표준 4 3 9" xfId="189"/>
    <cellStyle name="표준 4 4 2 2" xfId="190"/>
    <cellStyle name="표준 4 4 2 2 2" xfId="191"/>
    <cellStyle name="표준 4 4 2 3" xfId="192"/>
    <cellStyle name="표준 4 4 3" xfId="193"/>
    <cellStyle name="표준 4 4 3 2" xfId="194"/>
    <cellStyle name="표준 4 4 3 2 2" xfId="195"/>
    <cellStyle name="표준 4 4 3 3" xfId="196"/>
    <cellStyle name="표준 4 4 4" xfId="197"/>
    <cellStyle name="표준 4 4 4 2" xfId="198"/>
    <cellStyle name="표준 4 4 5" xfId="199"/>
    <cellStyle name="표준 4 4 5 2" xfId="200"/>
    <cellStyle name="표준 4 4 6" xfId="201"/>
    <cellStyle name="표준 4 4 6 2" xfId="202"/>
    <cellStyle name="표준 4 4 7" xfId="203"/>
    <cellStyle name="표준 4 5 2" xfId="204"/>
    <cellStyle name="표준 4 5 2 2" xfId="205"/>
    <cellStyle name="표준 4 5 3" xfId="206"/>
    <cellStyle name="표준 4 6" xfId="207"/>
    <cellStyle name="표준 4 6 2" xfId="208"/>
    <cellStyle name="표준 4 6 2 2" xfId="209"/>
    <cellStyle name="표준 4 6 3" xfId="210"/>
    <cellStyle name="표준 4 7" xfId="211"/>
    <cellStyle name="표준 4 7 2" xfId="212"/>
    <cellStyle name="표준 4 8" xfId="213"/>
    <cellStyle name="표준 4 8 2" xfId="214"/>
    <cellStyle name="표준 4 9" xfId="215"/>
    <cellStyle name="표준 4 9 2" xfId="216"/>
    <cellStyle name="표준 8" xfId="217"/>
    <cellStyle name="표준 3 10 2 2" xfId="218"/>
    <cellStyle name="표준 3 10 2 2 2" xfId="219"/>
    <cellStyle name="표준 3 10 2 3" xfId="220"/>
    <cellStyle name="표준 3 10 2 4" xfId="221"/>
    <cellStyle name="표준 3 10 3" xfId="222"/>
    <cellStyle name="표준 3 10 3 2" xfId="223"/>
    <cellStyle name="표준 3 10 4" xfId="224"/>
    <cellStyle name="표준 3 10 5" xfId="225"/>
    <cellStyle name="표준 3 11 2" xfId="226"/>
    <cellStyle name="표준 3 11 2 2" xfId="227"/>
    <cellStyle name="표준 3 11 3" xfId="228"/>
    <cellStyle name="표준 3 11 4" xfId="229"/>
    <cellStyle name="표준 3 12" xfId="230"/>
    <cellStyle name="표준 3 12 2" xfId="231"/>
    <cellStyle name="표준 3 13" xfId="232"/>
    <cellStyle name="표준 3 14" xfId="233"/>
    <cellStyle name="표준 3 2 10" xfId="234"/>
    <cellStyle name="표준 3 2 10 2" xfId="235"/>
    <cellStyle name="표준 3 2 11" xfId="236"/>
    <cellStyle name="표준 3 2 12" xfId="237"/>
    <cellStyle name="표준 3 2 2 10" xfId="238"/>
    <cellStyle name="표준 3 2 2 2 2 2 2" xfId="239"/>
    <cellStyle name="표준 3 2 2 2 2 2 2 2" xfId="240"/>
    <cellStyle name="표준 3 2 2 2 2 2 3" xfId="241"/>
    <cellStyle name="표준 3 2 2 2 2 2 4" xfId="242"/>
    <cellStyle name="표준 3 2 2 2 2 3" xfId="243"/>
    <cellStyle name="표준 3 2 2 2 2 3 2" xfId="244"/>
    <cellStyle name="표준 3 2 2 2 2 4" xfId="245"/>
    <cellStyle name="표준 3 2 2 2 2 5" xfId="246"/>
    <cellStyle name="표준 3 2 2 2 3 2" xfId="247"/>
    <cellStyle name="표준 3 2 2 2 3 2 2" xfId="248"/>
    <cellStyle name="표준 3 2 2 2 3 3" xfId="249"/>
    <cellStyle name="표준 3 2 2 2 3 4" xfId="250"/>
    <cellStyle name="표준 3 2 2 2 4" xfId="251"/>
    <cellStyle name="표준 3 2 2 2 4 2" xfId="252"/>
    <cellStyle name="표준 3 2 2 2 5" xfId="253"/>
    <cellStyle name="표준 3 2 2 2 6" xfId="254"/>
    <cellStyle name="표준 3 2 2 3 2 2 2" xfId="255"/>
    <cellStyle name="표준 3 2 2 3 2 2 2 2" xfId="256"/>
    <cellStyle name="표준 3 2 2 3 2 2 3" xfId="257"/>
    <cellStyle name="표준 3 2 2 3 2 2 4" xfId="258"/>
    <cellStyle name="표준 3 2 2 3 2 3" xfId="259"/>
    <cellStyle name="표준 3 2 2 3 2 3 2" xfId="260"/>
    <cellStyle name="표준 3 2 2 3 2 4" xfId="261"/>
    <cellStyle name="표준 3 2 2 3 2 5" xfId="262"/>
    <cellStyle name="표준 3 2 2 3 3 2" xfId="263"/>
    <cellStyle name="표준 3 2 2 3 3 2 2" xfId="264"/>
    <cellStyle name="표준 3 2 2 3 3 3" xfId="265"/>
    <cellStyle name="표준 3 2 2 3 3 4" xfId="266"/>
    <cellStyle name="표준 3 2 2 3 4" xfId="267"/>
    <cellStyle name="표준 3 2 2 3 4 2" xfId="268"/>
    <cellStyle name="표준 3 2 2 3 5" xfId="269"/>
    <cellStyle name="표준 3 2 2 3 6" xfId="270"/>
    <cellStyle name="표준 3 2 2 4 2 2" xfId="271"/>
    <cellStyle name="표준 3 2 2 4 2 2 2" xfId="272"/>
    <cellStyle name="표준 3 2 2 4 2 3" xfId="273"/>
    <cellStyle name="표준 3 2 2 4 2 4" xfId="274"/>
    <cellStyle name="표준 3 2 2 4 3" xfId="275"/>
    <cellStyle name="표준 3 2 2 4 3 2" xfId="276"/>
    <cellStyle name="표준 3 2 2 4 4" xfId="277"/>
    <cellStyle name="표준 3 2 2 4 5" xfId="278"/>
    <cellStyle name="표준 3 2 2 5 2 2" xfId="279"/>
    <cellStyle name="표준 3 2 2 5 2 2 2" xfId="280"/>
    <cellStyle name="표준 3 2 2 5 2 3" xfId="281"/>
    <cellStyle name="표준 3 2 2 5 2 4" xfId="282"/>
    <cellStyle name="표준 3 2 2 5 3" xfId="283"/>
    <cellStyle name="표준 3 2 2 5 3 2" xfId="284"/>
    <cellStyle name="표준 3 2 2 5 4" xfId="285"/>
    <cellStyle name="표준 3 2 2 5 5" xfId="286"/>
    <cellStyle name="표준 3 2 2 6 2 2" xfId="287"/>
    <cellStyle name="표준 3 2 2 6 2 2 2" xfId="288"/>
    <cellStyle name="표준 3 2 2 6 2 3" xfId="289"/>
    <cellStyle name="표준 3 2 2 6 2 4" xfId="290"/>
    <cellStyle name="표준 3 2 2 6 3" xfId="291"/>
    <cellStyle name="표준 3 2 2 6 3 2" xfId="292"/>
    <cellStyle name="표준 3 2 2 6 4" xfId="293"/>
    <cellStyle name="표준 3 2 2 6 5" xfId="294"/>
    <cellStyle name="표준 3 2 2 7 2" xfId="295"/>
    <cellStyle name="표준 3 2 2 7 2 2" xfId="296"/>
    <cellStyle name="표준 3 2 2 7 3" xfId="297"/>
    <cellStyle name="표준 3 2 2 7 4" xfId="298"/>
    <cellStyle name="표준 3 2 2 8" xfId="299"/>
    <cellStyle name="표준 3 2 2 8 2" xfId="300"/>
    <cellStyle name="표준 3 2 2 9" xfId="301"/>
    <cellStyle name="표준 3 2 3 2 2 2" xfId="302"/>
    <cellStyle name="표준 3 2 3 2 2 2 2" xfId="303"/>
    <cellStyle name="표준 3 2 3 2 2 3" xfId="304"/>
    <cellStyle name="표준 3 2 3 2 2 4" xfId="305"/>
    <cellStyle name="표준 3 2 3 2 3" xfId="306"/>
    <cellStyle name="표준 3 2 3 2 3 2" xfId="307"/>
    <cellStyle name="표준 3 2 3 2 4" xfId="308"/>
    <cellStyle name="표준 3 2 3 2 5" xfId="309"/>
    <cellStyle name="표준 3 2 3 3 2" xfId="310"/>
    <cellStyle name="표준 3 2 3 3 2 2" xfId="311"/>
    <cellStyle name="표준 3 2 3 3 3" xfId="312"/>
    <cellStyle name="표준 3 2 3 3 4" xfId="313"/>
    <cellStyle name="표준 3 2 3 4" xfId="314"/>
    <cellStyle name="표준 3 2 3 4 2" xfId="315"/>
    <cellStyle name="표준 3 2 3 5" xfId="316"/>
    <cellStyle name="표준 3 2 3 6" xfId="317"/>
    <cellStyle name="표준 3 2 4 2 2 2" xfId="318"/>
    <cellStyle name="표준 3 2 4 2 2 2 2" xfId="319"/>
    <cellStyle name="표준 3 2 4 2 2 3" xfId="320"/>
    <cellStyle name="표준 3 2 4 2 2 4" xfId="321"/>
    <cellStyle name="표준 3 2 4 2 3" xfId="322"/>
    <cellStyle name="표준 3 2 4 2 3 2" xfId="323"/>
    <cellStyle name="표준 3 2 4 2 4" xfId="324"/>
    <cellStyle name="표준 3 2 4 2 5" xfId="325"/>
    <cellStyle name="표준 3 2 4 3 2" xfId="326"/>
    <cellStyle name="표준 3 2 4 3 2 2" xfId="327"/>
    <cellStyle name="표준 3 2 4 3 3" xfId="328"/>
    <cellStyle name="표준 3 2 4 3 4" xfId="329"/>
    <cellStyle name="표준 3 2 4 4" xfId="330"/>
    <cellStyle name="표준 3 2 4 4 2" xfId="331"/>
    <cellStyle name="표준 3 2 4 5" xfId="332"/>
    <cellStyle name="표준 3 2 4 6" xfId="333"/>
    <cellStyle name="표준 3 2 5 2 2" xfId="334"/>
    <cellStyle name="표준 3 2 5 2 2 2" xfId="335"/>
    <cellStyle name="표준 3 2 5 2 3" xfId="336"/>
    <cellStyle name="표준 3 2 5 2 4" xfId="337"/>
    <cellStyle name="표준 3 2 5 3" xfId="338"/>
    <cellStyle name="표준 3 2 5 3 2" xfId="339"/>
    <cellStyle name="표준 3 2 5 4" xfId="340"/>
    <cellStyle name="표준 3 2 5 5" xfId="341"/>
    <cellStyle name="표준 3 2 6 2 2" xfId="342"/>
    <cellStyle name="표준 3 2 6 2 2 2" xfId="343"/>
    <cellStyle name="표준 3 2 6 2 3" xfId="344"/>
    <cellStyle name="표준 3 2 6 2 4" xfId="345"/>
    <cellStyle name="표준 3 2 6 3" xfId="346"/>
    <cellStyle name="표준 3 2 6 3 2" xfId="347"/>
    <cellStyle name="표준 3 2 6 4" xfId="348"/>
    <cellStyle name="표준 3 2 6 5" xfId="349"/>
    <cellStyle name="표준 3 2 7 2 2" xfId="350"/>
    <cellStyle name="표준 3 2 7 2 2 2" xfId="351"/>
    <cellStyle name="표준 3 2 7 2 3" xfId="352"/>
    <cellStyle name="표준 3 2 7 2 4" xfId="353"/>
    <cellStyle name="표준 3 2 7 3" xfId="354"/>
    <cellStyle name="표준 3 2 7 3 2" xfId="355"/>
    <cellStyle name="표준 3 2 7 4" xfId="356"/>
    <cellStyle name="표준 3 2 7 5" xfId="357"/>
    <cellStyle name="표준 3 2 8 2 2" xfId="358"/>
    <cellStyle name="표준 3 2 8 2 2 2" xfId="359"/>
    <cellStyle name="표준 3 2 8 2 3" xfId="360"/>
    <cellStyle name="표준 3 2 8 2 4" xfId="361"/>
    <cellStyle name="표준 3 2 8 3" xfId="362"/>
    <cellStyle name="표준 3 2 8 3 2" xfId="363"/>
    <cellStyle name="표준 3 2 8 4" xfId="364"/>
    <cellStyle name="표준 3 2 8 5" xfId="365"/>
    <cellStyle name="표준 3 2 9 2" xfId="366"/>
    <cellStyle name="표준 3 2 9 2 2" xfId="367"/>
    <cellStyle name="표준 3 2 9 3" xfId="368"/>
    <cellStyle name="표준 3 2 9 4" xfId="369"/>
    <cellStyle name="표준 3 3 10" xfId="370"/>
    <cellStyle name="표준 3 3 10 2" xfId="371"/>
    <cellStyle name="표준 3 3 11" xfId="372"/>
    <cellStyle name="표준 3 3 12" xfId="373"/>
    <cellStyle name="표준 3 3 2 10" xfId="374"/>
    <cellStyle name="표준 3 3 2 2 2 2 2" xfId="375"/>
    <cellStyle name="표준 3 3 2 2 2 2 2 2" xfId="376"/>
    <cellStyle name="표준 3 3 2 2 2 2 3" xfId="377"/>
    <cellStyle name="표준 3 3 2 2 2 2 4" xfId="378"/>
    <cellStyle name="표준 3 3 2 2 2 3" xfId="379"/>
    <cellStyle name="표준 3 3 2 2 2 3 2" xfId="380"/>
    <cellStyle name="표준 3 3 2 2 2 4" xfId="381"/>
    <cellStyle name="표준 3 3 2 2 2 5" xfId="382"/>
    <cellStyle name="표준 3 3 2 2 3 2" xfId="383"/>
    <cellStyle name="표준 3 3 2 2 3 2 2" xfId="384"/>
    <cellStyle name="표준 3 3 2 2 3 3" xfId="385"/>
    <cellStyle name="표준 3 3 2 2 3 4" xfId="386"/>
    <cellStyle name="표준 3 3 2 2 4" xfId="387"/>
    <cellStyle name="표준 3 3 2 2 4 2" xfId="388"/>
    <cellStyle name="표준 3 3 2 2 5" xfId="389"/>
    <cellStyle name="표준 3 3 2 2 6" xfId="390"/>
    <cellStyle name="표준 3 3 2 3 2 2 2" xfId="391"/>
    <cellStyle name="표준 3 3 2 3 2 2 2 2" xfId="392"/>
    <cellStyle name="표준 3 3 2 3 2 2 3" xfId="393"/>
    <cellStyle name="표준 3 3 2 3 2 2 4" xfId="394"/>
    <cellStyle name="표준 3 3 2 3 2 3" xfId="395"/>
    <cellStyle name="표준 3 3 2 3 2 3 2" xfId="396"/>
    <cellStyle name="표준 3 3 2 3 2 4" xfId="397"/>
    <cellStyle name="표준 3 3 2 3 2 5" xfId="398"/>
    <cellStyle name="표준 3 3 2 3 3 2" xfId="399"/>
    <cellStyle name="표준 3 3 2 3 3 2 2" xfId="400"/>
    <cellStyle name="표준 3 3 2 3 3 3" xfId="401"/>
    <cellStyle name="표준 3 3 2 3 3 4" xfId="402"/>
    <cellStyle name="표준 3 3 2 3 4" xfId="403"/>
    <cellStyle name="표준 3 3 2 3 4 2" xfId="404"/>
    <cellStyle name="표준 3 3 2 3 5" xfId="405"/>
    <cellStyle name="표준 3 3 2 3 6" xfId="406"/>
    <cellStyle name="표준 3 3 2 4 2 2" xfId="407"/>
    <cellStyle name="표준 3 3 2 4 2 2 2" xfId="408"/>
    <cellStyle name="표준 3 3 2 4 2 3" xfId="409"/>
    <cellStyle name="표준 3 3 2 4 2 4" xfId="410"/>
    <cellStyle name="표준 3 3 2 4 3" xfId="411"/>
    <cellStyle name="표준 3 3 2 4 3 2" xfId="412"/>
    <cellStyle name="표준 3 3 2 4 4" xfId="413"/>
    <cellStyle name="표준 3 3 2 4 5" xfId="414"/>
    <cellStyle name="표준 3 3 2 5 2 2" xfId="415"/>
    <cellStyle name="표준 3 3 2 5 2 2 2" xfId="416"/>
    <cellStyle name="표준 3 3 2 5 2 3" xfId="417"/>
    <cellStyle name="표준 3 3 2 5 2 4" xfId="418"/>
    <cellStyle name="표준 3 3 2 5 3" xfId="419"/>
    <cellStyle name="표준 3 3 2 5 3 2" xfId="420"/>
    <cellStyle name="표준 3 3 2 5 4" xfId="421"/>
    <cellStyle name="표준 3 3 2 5 5" xfId="422"/>
    <cellStyle name="표준 3 3 2 6 2 2" xfId="423"/>
    <cellStyle name="표준 3 3 2 6 2 2 2" xfId="424"/>
    <cellStyle name="표준 3 3 2 6 2 3" xfId="425"/>
    <cellStyle name="표준 3 3 2 6 2 4" xfId="426"/>
    <cellStyle name="표준 3 3 2 6 3" xfId="427"/>
    <cellStyle name="표준 3 3 2 6 3 2" xfId="428"/>
    <cellStyle name="표준 3 3 2 6 4" xfId="429"/>
    <cellStyle name="표준 3 3 2 6 5" xfId="430"/>
    <cellStyle name="표준 3 3 2 7 2" xfId="431"/>
    <cellStyle name="표준 3 3 2 7 2 2" xfId="432"/>
    <cellStyle name="표준 3 3 2 7 3" xfId="433"/>
    <cellStyle name="표준 3 3 2 7 4" xfId="434"/>
    <cellStyle name="표준 3 3 2 8" xfId="435"/>
    <cellStyle name="표준 3 3 2 8 2" xfId="436"/>
    <cellStyle name="표준 3 3 2 9" xfId="437"/>
    <cellStyle name="표준 3 3 3 2 2 2" xfId="438"/>
    <cellStyle name="표준 3 3 3 2 2 2 2" xfId="439"/>
    <cellStyle name="표준 3 3 3 2 2 3" xfId="440"/>
    <cellStyle name="표준 3 3 3 2 2 4" xfId="441"/>
    <cellStyle name="표준 3 3 3 2 3" xfId="442"/>
    <cellStyle name="표준 3 3 3 2 3 2" xfId="443"/>
    <cellStyle name="표준 3 3 3 2 4" xfId="444"/>
    <cellStyle name="표준 3 3 3 2 5" xfId="445"/>
    <cellStyle name="표준 3 3 3 3 2" xfId="446"/>
    <cellStyle name="표준 3 3 3 3 2 2" xfId="447"/>
    <cellStyle name="표준 3 3 3 3 3" xfId="448"/>
    <cellStyle name="표준 3 3 3 3 4" xfId="449"/>
    <cellStyle name="표준 3 3 3 4" xfId="450"/>
    <cellStyle name="표준 3 3 3 4 2" xfId="451"/>
    <cellStyle name="표준 3 3 3 5" xfId="452"/>
    <cellStyle name="표준 3 3 3 6" xfId="453"/>
    <cellStyle name="표준 3 3 4 2 2 2" xfId="454"/>
    <cellStyle name="표준 3 3 4 2 2 2 2" xfId="455"/>
    <cellStyle name="표준 3 3 4 2 2 3" xfId="456"/>
    <cellStyle name="표준 3 3 4 2 2 4" xfId="457"/>
    <cellStyle name="표준 3 3 4 2 3" xfId="458"/>
    <cellStyle name="표준 3 3 4 2 3 2" xfId="459"/>
    <cellStyle name="표준 3 3 4 2 4" xfId="460"/>
    <cellStyle name="표준 3 3 4 2 5" xfId="461"/>
    <cellStyle name="표준 3 3 4 3 2" xfId="462"/>
    <cellStyle name="표준 3 3 4 3 2 2" xfId="463"/>
    <cellStyle name="표준 3 3 4 3 3" xfId="464"/>
    <cellStyle name="표준 3 3 4 3 4" xfId="465"/>
    <cellStyle name="표준 3 3 4 4" xfId="466"/>
    <cellStyle name="표준 3 3 4 4 2" xfId="467"/>
    <cellStyle name="표준 3 3 4 5" xfId="468"/>
    <cellStyle name="표준 3 3 4 6" xfId="469"/>
    <cellStyle name="표준 3 3 5 2 2" xfId="470"/>
    <cellStyle name="표준 3 3 5 2 2 2" xfId="471"/>
    <cellStyle name="표준 3 3 5 2 3" xfId="472"/>
    <cellStyle name="표준 3 3 5 2 4" xfId="473"/>
    <cellStyle name="표준 3 3 5 3" xfId="474"/>
    <cellStyle name="표준 3 3 5 3 2" xfId="475"/>
    <cellStyle name="표준 3 3 5 4" xfId="476"/>
    <cellStyle name="표준 3 3 5 5" xfId="477"/>
    <cellStyle name="표준 3 3 6 2 2" xfId="478"/>
    <cellStyle name="표준 3 3 6 2 2 2" xfId="479"/>
    <cellStyle name="표준 3 3 6 2 3" xfId="480"/>
    <cellStyle name="표준 3 3 6 2 4" xfId="481"/>
    <cellStyle name="표준 3 3 6 3" xfId="482"/>
    <cellStyle name="표준 3 3 6 3 2" xfId="483"/>
    <cellStyle name="표준 3 3 6 4" xfId="484"/>
    <cellStyle name="표준 3 3 6 5" xfId="485"/>
    <cellStyle name="표준 3 3 7 2 2" xfId="486"/>
    <cellStyle name="표준 3 3 7 2 2 2" xfId="487"/>
    <cellStyle name="표준 3 3 7 2 3" xfId="488"/>
    <cellStyle name="표준 3 3 7 2 4" xfId="489"/>
    <cellStyle name="표준 3 3 7 3" xfId="490"/>
    <cellStyle name="표준 3 3 7 3 2" xfId="491"/>
    <cellStyle name="표준 3 3 7 4" xfId="492"/>
    <cellStyle name="표준 3 3 7 5" xfId="493"/>
    <cellStyle name="표준 3 3 8 2 2" xfId="494"/>
    <cellStyle name="표준 3 3 8 2 2 2" xfId="495"/>
    <cellStyle name="표준 3 3 8 2 3" xfId="496"/>
    <cellStyle name="표준 3 3 8 2 4" xfId="497"/>
    <cellStyle name="표준 3 3 8 3" xfId="498"/>
    <cellStyle name="표준 3 3 8 3 2" xfId="499"/>
    <cellStyle name="표준 3 3 8 4" xfId="500"/>
    <cellStyle name="표준 3 3 8 5" xfId="501"/>
    <cellStyle name="표준 3 3 9 2" xfId="502"/>
    <cellStyle name="표준 3 3 9 2 2" xfId="503"/>
    <cellStyle name="표준 3 3 9 3" xfId="504"/>
    <cellStyle name="표준 3 3 9 4" xfId="505"/>
    <cellStyle name="표준 3 4 10" xfId="506"/>
    <cellStyle name="표준 3 4 2 2 2 2" xfId="507"/>
    <cellStyle name="표준 3 4 2 2 2 2 2" xfId="508"/>
    <cellStyle name="표준 3 4 2 2 2 3" xfId="509"/>
    <cellStyle name="표준 3 4 2 2 2 4" xfId="510"/>
    <cellStyle name="표준 3 4 2 2 3" xfId="511"/>
    <cellStyle name="표준 3 4 2 2 3 2" xfId="512"/>
    <cellStyle name="표준 3 4 2 2 4" xfId="513"/>
    <cellStyle name="표준 3 4 2 2 5" xfId="514"/>
    <cellStyle name="표준 3 4 2 3 2" xfId="515"/>
    <cellStyle name="표준 3 4 2 3 2 2" xfId="516"/>
    <cellStyle name="표준 3 4 2 3 3" xfId="517"/>
    <cellStyle name="표준 3 4 2 3 4" xfId="518"/>
    <cellStyle name="표준 3 4 2 4" xfId="519"/>
    <cellStyle name="표준 3 4 2 4 2" xfId="520"/>
    <cellStyle name="표준 3 4 2 5" xfId="521"/>
    <cellStyle name="표준 3 4 2 6" xfId="522"/>
    <cellStyle name="표준 3 4 3 2 2 2" xfId="523"/>
    <cellStyle name="표준 3 4 3 2 2 2 2" xfId="524"/>
    <cellStyle name="표준 3 4 3 2 2 3" xfId="525"/>
    <cellStyle name="표준 3 4 3 2 2 4" xfId="526"/>
    <cellStyle name="표준 3 4 3 2 3" xfId="527"/>
    <cellStyle name="표준 3 4 3 2 3 2" xfId="528"/>
    <cellStyle name="표준 3 4 3 2 4" xfId="529"/>
    <cellStyle name="표준 3 4 3 2 5" xfId="530"/>
    <cellStyle name="표준 3 4 3 3 2" xfId="531"/>
    <cellStyle name="표준 3 4 3 3 2 2" xfId="532"/>
    <cellStyle name="표준 3 4 3 3 3" xfId="533"/>
    <cellStyle name="표준 3 4 3 3 4" xfId="534"/>
    <cellStyle name="표준 3 4 3 4" xfId="535"/>
    <cellStyle name="표준 3 4 3 4 2" xfId="536"/>
    <cellStyle name="표준 3 4 3 5" xfId="537"/>
    <cellStyle name="표준 3 4 3 6" xfId="538"/>
    <cellStyle name="표준 3 4 4 2 2" xfId="539"/>
    <cellStyle name="표준 3 4 4 2 2 2" xfId="540"/>
    <cellStyle name="표준 3 4 4 2 3" xfId="541"/>
    <cellStyle name="표준 3 4 4 2 4" xfId="542"/>
    <cellStyle name="표준 3 4 4 3" xfId="543"/>
    <cellStyle name="표준 3 4 4 3 2" xfId="544"/>
    <cellStyle name="표준 3 4 4 4" xfId="545"/>
    <cellStyle name="표준 3 4 4 5" xfId="546"/>
    <cellStyle name="표준 3 4 5 2 2" xfId="547"/>
    <cellStyle name="표준 3 4 5 2 2 2" xfId="548"/>
    <cellStyle name="표준 3 4 5 2 3" xfId="549"/>
    <cellStyle name="표준 3 4 5 2 4" xfId="550"/>
    <cellStyle name="표준 3 4 5 3" xfId="551"/>
    <cellStyle name="표준 3 4 5 3 2" xfId="552"/>
    <cellStyle name="표준 3 4 5 4" xfId="553"/>
    <cellStyle name="표준 3 4 5 5" xfId="554"/>
    <cellStyle name="표준 3 4 6 2 2" xfId="555"/>
    <cellStyle name="표준 3 4 6 2 2 2" xfId="556"/>
    <cellStyle name="표준 3 4 6 2 3" xfId="557"/>
    <cellStyle name="표준 3 4 6 2 4" xfId="558"/>
    <cellStyle name="표준 3 4 6 3" xfId="559"/>
    <cellStyle name="표준 3 4 6 3 2" xfId="560"/>
    <cellStyle name="표준 3 4 6 4" xfId="561"/>
    <cellStyle name="표준 3 4 6 5" xfId="562"/>
    <cellStyle name="표준 3 4 7 2" xfId="563"/>
    <cellStyle name="표준 3 4 7 2 2" xfId="564"/>
    <cellStyle name="표준 3 4 7 3" xfId="565"/>
    <cellStyle name="표준 3 4 7 4" xfId="566"/>
    <cellStyle name="표준 3 4 8" xfId="567"/>
    <cellStyle name="표준 3 4 8 2" xfId="568"/>
    <cellStyle name="표준 3 4 9" xfId="569"/>
    <cellStyle name="표준 3 5 2 2 2" xfId="570"/>
    <cellStyle name="표준 3 5 2 2 2 2" xfId="571"/>
    <cellStyle name="표준 3 5 2 2 3" xfId="572"/>
    <cellStyle name="표준 3 5 2 2 4" xfId="573"/>
    <cellStyle name="표준 3 5 2 3" xfId="574"/>
    <cellStyle name="표준 3 5 2 3 2" xfId="575"/>
    <cellStyle name="표준 3 5 2 4" xfId="576"/>
    <cellStyle name="표준 3 5 2 5" xfId="577"/>
    <cellStyle name="표준 3 5 3 2" xfId="578"/>
    <cellStyle name="표준 3 5 3 2 2" xfId="579"/>
    <cellStyle name="표준 3 5 3 3" xfId="580"/>
    <cellStyle name="표준 3 5 3 4" xfId="581"/>
    <cellStyle name="표준 3 5 4" xfId="582"/>
    <cellStyle name="표준 3 5 4 2" xfId="583"/>
    <cellStyle name="표준 3 5 5" xfId="584"/>
    <cellStyle name="표준 3 5 6" xfId="585"/>
    <cellStyle name="표준 3 6 2 2 2" xfId="586"/>
    <cellStyle name="표준 3 6 2 2 2 2" xfId="587"/>
    <cellStyle name="표준 3 6 2 2 3" xfId="588"/>
    <cellStyle name="표준 3 6 2 2 4" xfId="589"/>
    <cellStyle name="표준 3 6 2 3" xfId="590"/>
    <cellStyle name="표준 3 6 2 3 2" xfId="591"/>
    <cellStyle name="표준 3 6 2 4" xfId="592"/>
    <cellStyle name="표준 3 6 2 5" xfId="593"/>
    <cellStyle name="표준 3 6 3 2" xfId="594"/>
    <cellStyle name="표준 3 6 3 2 2" xfId="595"/>
    <cellStyle name="표준 3 6 3 3" xfId="596"/>
    <cellStyle name="표준 3 6 3 4" xfId="597"/>
    <cellStyle name="표준 3 6 4" xfId="598"/>
    <cellStyle name="표준 3 6 4 2" xfId="599"/>
    <cellStyle name="표준 3 6 5" xfId="600"/>
    <cellStyle name="표준 3 6 6" xfId="601"/>
    <cellStyle name="표준 3 7 2 2" xfId="602"/>
    <cellStyle name="표준 3 7 2 2 2" xfId="603"/>
    <cellStyle name="표준 3 7 2 3" xfId="604"/>
    <cellStyle name="표준 3 7 2 4" xfId="605"/>
    <cellStyle name="표준 3 7 3" xfId="606"/>
    <cellStyle name="표준 3 7 3 2" xfId="607"/>
    <cellStyle name="표준 3 7 4" xfId="608"/>
    <cellStyle name="표준 3 7 5" xfId="609"/>
    <cellStyle name="표준 3 8 2 2" xfId="610"/>
    <cellStyle name="표준 3 8 2 2 2" xfId="611"/>
    <cellStyle name="표준 3 8 2 3" xfId="612"/>
    <cellStyle name="표준 3 8 2 4" xfId="613"/>
    <cellStyle name="표준 3 8 3" xfId="614"/>
    <cellStyle name="표준 3 8 3 2" xfId="615"/>
    <cellStyle name="표준 3 8 4" xfId="616"/>
    <cellStyle name="표준 3 8 5" xfId="617"/>
    <cellStyle name="표준 3 9 2 2" xfId="618"/>
    <cellStyle name="표준 3 9 2 2 2" xfId="619"/>
    <cellStyle name="표준 3 9 2 3" xfId="620"/>
    <cellStyle name="표준 3 9 2 4" xfId="621"/>
    <cellStyle name="표준 3 9 3" xfId="622"/>
    <cellStyle name="표준 3 9 3 2" xfId="623"/>
    <cellStyle name="표준 3 9 4" xfId="624"/>
    <cellStyle name="표준 3 9 5" xfId="625"/>
    <cellStyle name="표준 4 10 2 2" xfId="626"/>
    <cellStyle name="표준 4 10 2 2 2" xfId="627"/>
    <cellStyle name="표준 4 10 2 3" xfId="628"/>
    <cellStyle name="표준 4 10 2 4" xfId="629"/>
    <cellStyle name="표준 4 10 3" xfId="630"/>
    <cellStyle name="표준 4 10 3 2" xfId="631"/>
    <cellStyle name="표준 4 10 4" xfId="632"/>
    <cellStyle name="표준 4 10 5" xfId="633"/>
    <cellStyle name="표준 4 11 2" xfId="634"/>
    <cellStyle name="표준 4 11 2 2" xfId="635"/>
    <cellStyle name="표준 4 11 3" xfId="636"/>
    <cellStyle name="표준 4 11 4" xfId="637"/>
    <cellStyle name="표준 4 12" xfId="638"/>
    <cellStyle name="표준 4 12 2" xfId="639"/>
    <cellStyle name="표준 4 13" xfId="640"/>
    <cellStyle name="표준 4 14" xfId="641"/>
    <cellStyle name="표준 4 2 10" xfId="642"/>
    <cellStyle name="표준 4 2 10 2" xfId="643"/>
    <cellStyle name="표준 4 2 11" xfId="644"/>
    <cellStyle name="표준 4 2 12" xfId="645"/>
    <cellStyle name="표준 4 2 2 10" xfId="646"/>
    <cellStyle name="표준 4 2 2 2 2 2 2" xfId="647"/>
    <cellStyle name="표준 4 2 2 2 2 2 2 2" xfId="648"/>
    <cellStyle name="표준 4 2 2 2 2 2 3" xfId="649"/>
    <cellStyle name="표준 4 2 2 2 2 2 4" xfId="650"/>
    <cellStyle name="표준 4 2 2 2 2 3" xfId="651"/>
    <cellStyle name="표준 4 2 2 2 2 3 2" xfId="652"/>
    <cellStyle name="표준 4 2 2 2 2 4" xfId="653"/>
    <cellStyle name="표준 4 2 2 2 2 5" xfId="654"/>
    <cellStyle name="표준 4 2 2 2 3 2" xfId="655"/>
    <cellStyle name="표준 4 2 2 2 3 2 2" xfId="656"/>
    <cellStyle name="표준 4 2 2 2 3 3" xfId="657"/>
    <cellStyle name="표준 4 2 2 2 3 4" xfId="658"/>
    <cellStyle name="표준 4 2 2 2 4" xfId="659"/>
    <cellStyle name="표준 4 2 2 2 4 2" xfId="660"/>
    <cellStyle name="표준 4 2 2 2 5" xfId="661"/>
    <cellStyle name="표준 4 2 2 2 6" xfId="662"/>
    <cellStyle name="표준 4 2 2 3 2 2 2" xfId="663"/>
    <cellStyle name="표준 4 2 2 3 2 2 2 2" xfId="664"/>
    <cellStyle name="표준 4 2 2 3 2 2 3" xfId="665"/>
    <cellStyle name="표준 4 2 2 3 2 2 4" xfId="666"/>
    <cellStyle name="표준 4 2 2 3 2 3" xfId="667"/>
    <cellStyle name="표준 4 2 2 3 2 3 2" xfId="668"/>
    <cellStyle name="표준 4 2 2 3 2 4" xfId="669"/>
    <cellStyle name="표준 4 2 2 3 2 5" xfId="670"/>
    <cellStyle name="표준 4 2 2 3 3 2" xfId="671"/>
    <cellStyle name="표준 4 2 2 3 3 2 2" xfId="672"/>
    <cellStyle name="표준 4 2 2 3 3 3" xfId="673"/>
    <cellStyle name="표준 4 2 2 3 3 4" xfId="674"/>
    <cellStyle name="표준 4 2 2 3 4" xfId="675"/>
    <cellStyle name="표준 4 2 2 3 4 2" xfId="676"/>
    <cellStyle name="표준 4 2 2 3 5" xfId="677"/>
    <cellStyle name="표준 4 2 2 3 6" xfId="678"/>
    <cellStyle name="표준 4 2 2 4 2 2" xfId="679"/>
    <cellStyle name="표준 4 2 2 4 2 2 2" xfId="680"/>
    <cellStyle name="표준 4 2 2 4 2 3" xfId="681"/>
    <cellStyle name="표준 4 2 2 4 2 4" xfId="682"/>
    <cellStyle name="표준 4 2 2 4 3" xfId="683"/>
    <cellStyle name="표준 4 2 2 4 3 2" xfId="684"/>
    <cellStyle name="표준 4 2 2 4 4" xfId="685"/>
    <cellStyle name="표준 4 2 2 4 5" xfId="686"/>
    <cellStyle name="표준 4 2 2 5 2 2" xfId="687"/>
    <cellStyle name="표준 4 2 2 5 2 2 2" xfId="688"/>
    <cellStyle name="표준 4 2 2 5 2 3" xfId="689"/>
    <cellStyle name="표준 4 2 2 5 2 4" xfId="690"/>
    <cellStyle name="표준 4 2 2 5 3" xfId="691"/>
    <cellStyle name="표준 4 2 2 5 3 2" xfId="692"/>
    <cellStyle name="표준 4 2 2 5 4" xfId="693"/>
    <cellStyle name="표준 4 2 2 5 5" xfId="694"/>
    <cellStyle name="표준 4 2 2 6 2 2" xfId="695"/>
    <cellStyle name="표준 4 2 2 6 2 2 2" xfId="696"/>
    <cellStyle name="표준 4 2 2 6 2 3" xfId="697"/>
    <cellStyle name="표준 4 2 2 6 2 4" xfId="698"/>
    <cellStyle name="표준 4 2 2 6 3" xfId="699"/>
    <cellStyle name="표준 4 2 2 6 3 2" xfId="700"/>
    <cellStyle name="표준 4 2 2 6 4" xfId="701"/>
    <cellStyle name="표준 4 2 2 6 5" xfId="702"/>
    <cellStyle name="표준 4 2 2 7 2" xfId="703"/>
    <cellStyle name="표준 4 2 2 7 2 2" xfId="704"/>
    <cellStyle name="표준 4 2 2 7 3" xfId="705"/>
    <cellStyle name="표준 4 2 2 7 4" xfId="706"/>
    <cellStyle name="표준 4 2 2 8" xfId="707"/>
    <cellStyle name="표준 4 2 2 8 2" xfId="708"/>
    <cellStyle name="표준 4 2 2 9" xfId="709"/>
    <cellStyle name="표준 4 2 3 2 2 2" xfId="710"/>
    <cellStyle name="표준 4 2 3 2 2 2 2" xfId="711"/>
    <cellStyle name="표준 4 2 3 2 2 3" xfId="712"/>
    <cellStyle name="표준 4 2 3 2 2 4" xfId="713"/>
    <cellStyle name="표준 4 2 3 2 3" xfId="714"/>
    <cellStyle name="표준 4 2 3 2 3 2" xfId="715"/>
    <cellStyle name="표준 4 2 3 2 4" xfId="716"/>
    <cellStyle name="표준 4 2 3 2 5" xfId="717"/>
    <cellStyle name="표준 4 2 3 3 2" xfId="718"/>
    <cellStyle name="표준 4 2 3 3 2 2" xfId="719"/>
    <cellStyle name="표준 4 2 3 3 3" xfId="720"/>
    <cellStyle name="표준 4 2 3 3 4" xfId="721"/>
    <cellStyle name="표준 4 2 3 4" xfId="722"/>
    <cellStyle name="표준 4 2 3 4 2" xfId="723"/>
    <cellStyle name="표준 4 2 3 5" xfId="724"/>
    <cellStyle name="표준 4 2 3 6" xfId="725"/>
    <cellStyle name="표준 4 2 4 2 2 2" xfId="726"/>
    <cellStyle name="표준 4 2 4 2 2 2 2" xfId="727"/>
    <cellStyle name="표준 4 2 4 2 2 3" xfId="728"/>
    <cellStyle name="표준 4 2 4 2 2 4" xfId="729"/>
    <cellStyle name="표준 4 2 4 2 3" xfId="730"/>
    <cellStyle name="표준 4 2 4 2 3 2" xfId="731"/>
    <cellStyle name="표준 4 2 4 2 4" xfId="732"/>
    <cellStyle name="표준 4 2 4 2 5" xfId="733"/>
    <cellStyle name="표준 4 2 4 3 2" xfId="734"/>
    <cellStyle name="표준 4 2 4 3 2 2" xfId="735"/>
    <cellStyle name="표준 4 2 4 3 3" xfId="736"/>
    <cellStyle name="표준 4 2 4 3 4" xfId="737"/>
    <cellStyle name="표준 4 2 4 4" xfId="738"/>
    <cellStyle name="표준 4 2 4 4 2" xfId="739"/>
    <cellStyle name="표준 4 2 4 5" xfId="740"/>
    <cellStyle name="표준 4 2 4 6" xfId="741"/>
    <cellStyle name="표준 4 2 5 2 2" xfId="742"/>
    <cellStyle name="표준 4 2 5 2 2 2" xfId="743"/>
    <cellStyle name="표준 4 2 5 2 3" xfId="744"/>
    <cellStyle name="표준 4 2 5 2 4" xfId="745"/>
    <cellStyle name="표준 4 2 5 3" xfId="746"/>
    <cellStyle name="표준 4 2 5 3 2" xfId="747"/>
    <cellStyle name="표준 4 2 5 4" xfId="748"/>
    <cellStyle name="표준 4 2 5 5" xfId="749"/>
    <cellStyle name="표준 4 2 6 2 2" xfId="750"/>
    <cellStyle name="표준 4 2 6 2 2 2" xfId="751"/>
    <cellStyle name="표준 4 2 6 2 3" xfId="752"/>
    <cellStyle name="표준 4 2 6 2 4" xfId="753"/>
    <cellStyle name="표준 4 2 6 3" xfId="754"/>
    <cellStyle name="표준 4 2 6 3 2" xfId="755"/>
    <cellStyle name="표준 4 2 6 4" xfId="756"/>
    <cellStyle name="표준 4 2 6 5" xfId="757"/>
    <cellStyle name="표준 4 2 7 2 2" xfId="758"/>
    <cellStyle name="표준 4 2 7 2 2 2" xfId="759"/>
    <cellStyle name="표준 4 2 7 2 3" xfId="760"/>
    <cellStyle name="표준 4 2 7 2 4" xfId="761"/>
    <cellStyle name="표준 4 2 7 3" xfId="762"/>
    <cellStyle name="표준 4 2 7 3 2" xfId="763"/>
    <cellStyle name="표준 4 2 7 4" xfId="764"/>
    <cellStyle name="표준 4 2 7 5" xfId="765"/>
    <cellStyle name="표준 4 2 8 2 2" xfId="766"/>
    <cellStyle name="표준 4 2 8 2 2 2" xfId="767"/>
    <cellStyle name="표준 4 2 8 2 3" xfId="768"/>
    <cellStyle name="표준 4 2 8 2 4" xfId="769"/>
    <cellStyle name="표준 4 2 8 3" xfId="770"/>
    <cellStyle name="표준 4 2 8 3 2" xfId="771"/>
    <cellStyle name="표준 4 2 8 4" xfId="772"/>
    <cellStyle name="표준 4 2 8 5" xfId="773"/>
    <cellStyle name="표준 4 2 9 2" xfId="774"/>
    <cellStyle name="표준 4 2 9 2 2" xfId="775"/>
    <cellStyle name="표준 4 2 9 3" xfId="776"/>
    <cellStyle name="표준 4 2 9 4" xfId="777"/>
    <cellStyle name="표준 4 3 10" xfId="778"/>
    <cellStyle name="표준 4 3 10 2" xfId="779"/>
    <cellStyle name="표준 4 3 11" xfId="780"/>
    <cellStyle name="표준 4 3 12" xfId="781"/>
    <cellStyle name="표준 4 3 2 10" xfId="782"/>
    <cellStyle name="표준 4 3 2 2 2 2 2" xfId="783"/>
    <cellStyle name="표준 4 3 2 2 2 2 2 2" xfId="784"/>
    <cellStyle name="표준 4 3 2 2 2 2 3" xfId="785"/>
    <cellStyle name="표준 4 3 2 2 2 2 4" xfId="786"/>
    <cellStyle name="표준 4 3 2 2 2 3" xfId="787"/>
    <cellStyle name="표준 4 3 2 2 2 3 2" xfId="788"/>
    <cellStyle name="표준 4 3 2 2 2 4" xfId="789"/>
    <cellStyle name="표준 4 3 2 2 2 5" xfId="790"/>
    <cellStyle name="표준 4 3 2 2 3 2" xfId="791"/>
    <cellStyle name="표준 4 3 2 2 3 2 2" xfId="792"/>
    <cellStyle name="표준 4 3 2 2 3 3" xfId="793"/>
    <cellStyle name="표준 4 3 2 2 3 4" xfId="794"/>
    <cellStyle name="표준 4 3 2 2 4" xfId="795"/>
    <cellStyle name="표준 4 3 2 2 4 2" xfId="796"/>
    <cellStyle name="표준 4 3 2 2 5" xfId="797"/>
    <cellStyle name="표준 4 3 2 2 6" xfId="798"/>
    <cellStyle name="표준 4 3 2 3 2 2 2" xfId="799"/>
    <cellStyle name="표준 4 3 2 3 2 2 2 2" xfId="800"/>
    <cellStyle name="표준 4 3 2 3 2 2 3" xfId="801"/>
    <cellStyle name="표준 4 3 2 3 2 2 4" xfId="802"/>
    <cellStyle name="표준 4 3 2 3 2 3" xfId="803"/>
    <cellStyle name="표준 4 3 2 3 2 3 2" xfId="804"/>
    <cellStyle name="표준 4 3 2 3 2 4" xfId="805"/>
    <cellStyle name="표준 4 3 2 3 2 5" xfId="806"/>
    <cellStyle name="표준 4 3 2 3 3 2" xfId="807"/>
    <cellStyle name="표준 4 3 2 3 3 2 2" xfId="808"/>
    <cellStyle name="표준 4 3 2 3 3 3" xfId="809"/>
    <cellStyle name="표준 4 3 2 3 3 4" xfId="810"/>
    <cellStyle name="표준 4 3 2 3 4" xfId="811"/>
    <cellStyle name="표준 4 3 2 3 4 2" xfId="812"/>
    <cellStyle name="표준 4 3 2 3 5" xfId="813"/>
    <cellStyle name="표준 4 3 2 3 6" xfId="814"/>
    <cellStyle name="표준 4 3 2 4 2 2" xfId="815"/>
    <cellStyle name="표준 4 3 2 4 2 2 2" xfId="816"/>
    <cellStyle name="표준 4 3 2 4 2 3" xfId="817"/>
    <cellStyle name="표준 4 3 2 4 2 4" xfId="818"/>
    <cellStyle name="표준 4 3 2 4 3" xfId="819"/>
    <cellStyle name="표준 4 3 2 4 3 2" xfId="820"/>
    <cellStyle name="표준 4 3 2 4 4" xfId="821"/>
    <cellStyle name="표준 4 3 2 4 5" xfId="822"/>
    <cellStyle name="표준 4 3 2 5 2 2" xfId="823"/>
    <cellStyle name="표준 4 3 2 5 2 2 2" xfId="824"/>
    <cellStyle name="표준 4 3 2 5 2 3" xfId="825"/>
    <cellStyle name="표준 4 3 2 5 2 4" xfId="826"/>
    <cellStyle name="표준 4 3 2 5 3" xfId="827"/>
    <cellStyle name="표준 4 3 2 5 3 2" xfId="828"/>
    <cellStyle name="표준 4 3 2 5 4" xfId="829"/>
    <cellStyle name="표준 4 3 2 5 5" xfId="830"/>
    <cellStyle name="표준 4 3 2 6 2 2" xfId="831"/>
    <cellStyle name="표준 4 3 2 6 2 2 2" xfId="832"/>
    <cellStyle name="표준 4 3 2 6 2 3" xfId="833"/>
    <cellStyle name="표준 4 3 2 6 2 4" xfId="834"/>
    <cellStyle name="표준 4 3 2 6 3" xfId="835"/>
    <cellStyle name="표준 4 3 2 6 3 2" xfId="836"/>
    <cellStyle name="표준 4 3 2 6 4" xfId="837"/>
    <cellStyle name="표준 4 3 2 6 5" xfId="838"/>
    <cellStyle name="표준 4 3 2 7 2" xfId="839"/>
    <cellStyle name="표준 4 3 2 7 2 2" xfId="840"/>
    <cellStyle name="표준 4 3 2 7 3" xfId="841"/>
    <cellStyle name="표준 4 3 2 7 4" xfId="842"/>
    <cellStyle name="표준 4 3 2 8" xfId="843"/>
    <cellStyle name="표준 4 3 2 8 2" xfId="844"/>
    <cellStyle name="표준 4 3 2 9" xfId="845"/>
    <cellStyle name="표준 4 3 3 2 2 2" xfId="846"/>
    <cellStyle name="표준 4 3 3 2 2 2 2" xfId="847"/>
    <cellStyle name="표준 4 3 3 2 2 3" xfId="848"/>
    <cellStyle name="표준 4 3 3 2 2 4" xfId="849"/>
    <cellStyle name="표준 4 3 3 2 3" xfId="850"/>
    <cellStyle name="표준 4 3 3 2 3 2" xfId="851"/>
    <cellStyle name="표준 4 3 3 2 4" xfId="852"/>
    <cellStyle name="표준 4 3 3 2 5" xfId="853"/>
    <cellStyle name="표준 4 3 3 3 2" xfId="854"/>
    <cellStyle name="표준 4 3 3 3 2 2" xfId="855"/>
    <cellStyle name="표준 4 3 3 3 3" xfId="856"/>
    <cellStyle name="표준 4 3 3 3 4" xfId="857"/>
    <cellStyle name="표준 4 3 3 4" xfId="858"/>
    <cellStyle name="표준 4 3 3 4 2" xfId="859"/>
    <cellStyle name="표준 4 3 3 5" xfId="860"/>
    <cellStyle name="표준 4 3 3 6" xfId="861"/>
    <cellStyle name="표준 4 3 4 2 2 2" xfId="862"/>
    <cellStyle name="표준 4 3 4 2 2 2 2" xfId="863"/>
    <cellStyle name="표준 4 3 4 2 2 3" xfId="864"/>
    <cellStyle name="표준 4 3 4 2 2 4" xfId="865"/>
    <cellStyle name="표준 4 3 4 2 3" xfId="866"/>
    <cellStyle name="표준 4 3 4 2 3 2" xfId="867"/>
    <cellStyle name="표준 4 3 4 2 4" xfId="868"/>
    <cellStyle name="표준 4 3 4 2 5" xfId="869"/>
    <cellStyle name="표준 4 3 4 3 2" xfId="870"/>
    <cellStyle name="표준 4 3 4 3 2 2" xfId="871"/>
    <cellStyle name="표준 4 3 4 3 3" xfId="872"/>
    <cellStyle name="표준 4 3 4 3 4" xfId="873"/>
    <cellStyle name="표준 4 3 4 4" xfId="874"/>
    <cellStyle name="표준 4 3 4 4 2" xfId="875"/>
    <cellStyle name="표준 4 3 4 5" xfId="876"/>
    <cellStyle name="표준 4 3 4 6" xfId="877"/>
    <cellStyle name="표준 4 3 5 2 2" xfId="878"/>
    <cellStyle name="표준 4 3 5 2 2 2" xfId="879"/>
    <cellStyle name="표준 4 3 5 2 3" xfId="880"/>
    <cellStyle name="표준 4 3 5 2 4" xfId="881"/>
    <cellStyle name="표준 4 3 5 3" xfId="882"/>
    <cellStyle name="표준 4 3 5 3 2" xfId="883"/>
    <cellStyle name="표준 4 3 5 4" xfId="884"/>
    <cellStyle name="표준 4 3 5 5" xfId="885"/>
    <cellStyle name="표준 4 3 6 2 2" xfId="886"/>
    <cellStyle name="표준 4 3 6 2 2 2" xfId="887"/>
    <cellStyle name="표준 4 3 6 2 3" xfId="888"/>
    <cellStyle name="표준 4 3 6 2 4" xfId="889"/>
    <cellStyle name="표준 4 3 6 3" xfId="890"/>
    <cellStyle name="표준 4 3 6 3 2" xfId="891"/>
    <cellStyle name="표준 4 3 6 4" xfId="892"/>
    <cellStyle name="표준 4 3 6 5" xfId="893"/>
    <cellStyle name="표준 4 3 7 2 2" xfId="894"/>
    <cellStyle name="표준 4 3 7 2 2 2" xfId="895"/>
    <cellStyle name="표준 4 3 7 2 3" xfId="896"/>
    <cellStyle name="표준 4 3 7 2 4" xfId="897"/>
    <cellStyle name="표준 4 3 7 3" xfId="898"/>
    <cellStyle name="표준 4 3 7 3 2" xfId="899"/>
    <cellStyle name="표준 4 3 7 4" xfId="900"/>
    <cellStyle name="표준 4 3 7 5" xfId="901"/>
    <cellStyle name="표준 4 3 8 2 2" xfId="902"/>
    <cellStyle name="표준 4 3 8 2 2 2" xfId="903"/>
    <cellStyle name="표준 4 3 8 2 3" xfId="904"/>
    <cellStyle name="표준 4 3 8 2 4" xfId="905"/>
    <cellStyle name="표준 4 3 8 3" xfId="906"/>
    <cellStyle name="표준 4 3 8 3 2" xfId="907"/>
    <cellStyle name="표준 4 3 8 4" xfId="908"/>
    <cellStyle name="표준 4 3 8 5" xfId="909"/>
    <cellStyle name="표준 4 3 9 2" xfId="910"/>
    <cellStyle name="표준 4 3 9 2 2" xfId="911"/>
    <cellStyle name="표준 4 3 9 3" xfId="912"/>
    <cellStyle name="표준 4 3 9 4" xfId="913"/>
    <cellStyle name="표준 4 4 10" xfId="914"/>
    <cellStyle name="표준 4 4 2 2 2 2" xfId="915"/>
    <cellStyle name="표준 4 4 2 2 2 2 2" xfId="916"/>
    <cellStyle name="표준 4 4 2 2 2 3" xfId="917"/>
    <cellStyle name="표준 4 4 2 2 2 4" xfId="918"/>
    <cellStyle name="표준 4 4 2 2 3" xfId="919"/>
    <cellStyle name="표준 4 4 2 2 3 2" xfId="920"/>
    <cellStyle name="표준 4 4 2 2 4" xfId="921"/>
    <cellStyle name="표준 4 4 2 2 5" xfId="922"/>
    <cellStyle name="표준 4 4 2 3 2" xfId="923"/>
    <cellStyle name="표준 4 4 2 3 2 2" xfId="924"/>
    <cellStyle name="표준 4 4 2 3 3" xfId="925"/>
    <cellStyle name="표준 4 4 2 3 4" xfId="926"/>
    <cellStyle name="표준 4 4 2 4" xfId="927"/>
    <cellStyle name="표준 4 4 2 4 2" xfId="928"/>
    <cellStyle name="표준 4 4 2 5" xfId="929"/>
    <cellStyle name="표준 4 4 2 6" xfId="930"/>
    <cellStyle name="표준 4 4 3 2 2 2" xfId="931"/>
    <cellStyle name="표준 4 4 3 2 2 2 2" xfId="932"/>
    <cellStyle name="표준 4 4 3 2 2 3" xfId="933"/>
    <cellStyle name="표준 4 4 3 2 2 4" xfId="934"/>
    <cellStyle name="표준 4 4 3 2 3" xfId="935"/>
    <cellStyle name="표준 4 4 3 2 3 2" xfId="936"/>
    <cellStyle name="표준 4 4 3 2 4" xfId="937"/>
    <cellStyle name="표준 4 4 3 2 5" xfId="938"/>
    <cellStyle name="표준 4 4 3 3 2" xfId="939"/>
    <cellStyle name="표준 4 4 3 3 2 2" xfId="940"/>
    <cellStyle name="표준 4 4 3 3 3" xfId="941"/>
    <cellStyle name="표준 4 4 3 3 4" xfId="942"/>
    <cellStyle name="표준 4 4 3 4" xfId="943"/>
    <cellStyle name="표준 4 4 3 4 2" xfId="944"/>
    <cellStyle name="표준 4 4 3 5" xfId="945"/>
    <cellStyle name="표준 4 4 3 6" xfId="946"/>
    <cellStyle name="표준 4 4 4 2 2" xfId="947"/>
    <cellStyle name="표준 4 4 4 2 2 2" xfId="948"/>
    <cellStyle name="표준 4 4 4 2 3" xfId="949"/>
    <cellStyle name="표준 4 4 4 2 4" xfId="950"/>
    <cellStyle name="표준 4 4 4 3" xfId="951"/>
    <cellStyle name="표준 4 4 4 3 2" xfId="952"/>
    <cellStyle name="표준 4 4 4 4" xfId="953"/>
    <cellStyle name="표준 4 4 4 5" xfId="954"/>
    <cellStyle name="표준 4 4 5 2 2" xfId="955"/>
    <cellStyle name="표준 4 4 5 2 2 2" xfId="956"/>
    <cellStyle name="표준 4 4 5 2 3" xfId="957"/>
    <cellStyle name="표준 4 4 5 2 4" xfId="958"/>
    <cellStyle name="표준 4 4 5 3" xfId="959"/>
    <cellStyle name="표준 4 4 5 3 2" xfId="960"/>
    <cellStyle name="표준 4 4 5 4" xfId="961"/>
    <cellStyle name="표준 4 4 5 5" xfId="962"/>
    <cellStyle name="표준 4 4 6 2 2" xfId="963"/>
    <cellStyle name="표준 4 4 6 2 2 2" xfId="964"/>
    <cellStyle name="표준 4 4 6 2 3" xfId="965"/>
    <cellStyle name="표준 4 4 6 2 4" xfId="966"/>
    <cellStyle name="표준 4 4 6 3" xfId="967"/>
    <cellStyle name="표준 4 4 6 3 2" xfId="968"/>
    <cellStyle name="표준 4 4 6 4" xfId="969"/>
    <cellStyle name="표준 4 4 6 5" xfId="970"/>
    <cellStyle name="표준 4 4 7 2" xfId="971"/>
    <cellStyle name="표준 4 4 7 2 2" xfId="972"/>
    <cellStyle name="표준 4 4 7 3" xfId="973"/>
    <cellStyle name="표준 4 4 7 4" xfId="974"/>
    <cellStyle name="표준 4 4 8" xfId="975"/>
    <cellStyle name="표준 4 4 8 2" xfId="976"/>
    <cellStyle name="표준 4 4 9" xfId="977"/>
    <cellStyle name="표준 4 5 2 2 2" xfId="978"/>
    <cellStyle name="표준 4 5 2 2 2 2" xfId="979"/>
    <cellStyle name="표준 4 5 2 2 3" xfId="980"/>
    <cellStyle name="표준 4 5 2 2 4" xfId="981"/>
    <cellStyle name="표준 4 5 2 3" xfId="982"/>
    <cellStyle name="표준 4 5 2 3 2" xfId="983"/>
    <cellStyle name="표준 4 5 2 4" xfId="984"/>
    <cellStyle name="표준 4 5 2 5" xfId="985"/>
    <cellStyle name="표준 4 5 3 2" xfId="986"/>
    <cellStyle name="표준 4 5 3 2 2" xfId="987"/>
    <cellStyle name="표준 4 5 3 3" xfId="988"/>
    <cellStyle name="표준 4 5 3 4" xfId="989"/>
    <cellStyle name="표준 4 5 4" xfId="990"/>
    <cellStyle name="표준 4 5 4 2" xfId="991"/>
    <cellStyle name="표준 4 5 5" xfId="992"/>
    <cellStyle name="표준 4 5 6" xfId="993"/>
    <cellStyle name="표준 4 6 2 2 2" xfId="994"/>
    <cellStyle name="표준 4 6 2 2 2 2" xfId="995"/>
    <cellStyle name="표준 4 6 2 2 3" xfId="996"/>
    <cellStyle name="표준 4 6 2 2 4" xfId="997"/>
    <cellStyle name="표준 4 6 2 3" xfId="998"/>
    <cellStyle name="표준 4 6 2 3 2" xfId="999"/>
    <cellStyle name="표준 4 6 2 4" xfId="1000"/>
    <cellStyle name="표준 4 6 2 5" xfId="1001"/>
    <cellStyle name="표준 4 6 3 2" xfId="1002"/>
    <cellStyle name="표준 4 6 3 2 2" xfId="1003"/>
    <cellStyle name="표준 4 6 3 3" xfId="1004"/>
    <cellStyle name="표준 4 6 3 4" xfId="1005"/>
    <cellStyle name="표준 4 6 4" xfId="1006"/>
    <cellStyle name="표준 4 6 4 2" xfId="1007"/>
    <cellStyle name="표준 4 6 5" xfId="1008"/>
    <cellStyle name="표준 4 6 6" xfId="1009"/>
    <cellStyle name="표준 4 7 2 2" xfId="1010"/>
    <cellStyle name="표준 4 7 2 2 2" xfId="1011"/>
    <cellStyle name="표준 4 7 2 3" xfId="1012"/>
    <cellStyle name="표준 4 7 2 4" xfId="1013"/>
    <cellStyle name="표준 4 7 3" xfId="1014"/>
    <cellStyle name="표준 4 7 3 2" xfId="1015"/>
    <cellStyle name="표준 4 7 4" xfId="1016"/>
    <cellStyle name="표준 4 7 5" xfId="1017"/>
    <cellStyle name="표준 4 8 2 2" xfId="1018"/>
    <cellStyle name="표준 4 8 2 2 2" xfId="1019"/>
    <cellStyle name="표준 4 8 2 3" xfId="1020"/>
    <cellStyle name="표준 4 8 2 4" xfId="1021"/>
    <cellStyle name="표준 4 8 3" xfId="1022"/>
    <cellStyle name="표준 4 8 3 2" xfId="1023"/>
    <cellStyle name="표준 4 8 4" xfId="1024"/>
    <cellStyle name="표준 4 8 5" xfId="1025"/>
    <cellStyle name="표준 4 9 2 2" xfId="1026"/>
    <cellStyle name="표준 4 9 2 2 2" xfId="1027"/>
    <cellStyle name="표준 4 9 2 3" xfId="1028"/>
    <cellStyle name="표준 4 9 2 4" xfId="1029"/>
    <cellStyle name="표준 4 9 3" xfId="1030"/>
    <cellStyle name="표준 4 9 3 2" xfId="1031"/>
    <cellStyle name="표준 4 9 4" xfId="1032"/>
    <cellStyle name="표준 4 9 5" xfId="1033"/>
  </cellStyles>
  <dxfs count="210"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ont>
        <b val="1"/>
        <color theme="0"/>
      </font>
      <fill>
        <patternFill>
          <bgColor rgb="FFFF0000"/>
        </patternFill>
      </fill>
    </dxf>
    <dxf>
      <font>
        <b val="1"/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5">
    <tabColor rgb="FF00B050"/>
    <outlinePr summaryBelow="1" summaryRight="1"/>
    <pageSetUpPr/>
  </sheetPr>
  <dimension ref="A1:AW144"/>
  <sheetViews>
    <sheetView showGridLines="0" view="pageBreakPreview" zoomScale="85" zoomScaleNormal="115" zoomScaleSheetLayoutView="85" workbookViewId="0">
      <selection activeCell="AR20" sqref="AR20"/>
    </sheetView>
  </sheetViews>
  <sheetFormatPr baseColWidth="8" defaultRowHeight="16.5"/>
  <cols>
    <col width="3.125" customWidth="1" style="730" min="1" max="4"/>
    <col width="4" customWidth="1" style="730" min="5" max="5"/>
    <col width="3.125" customWidth="1" style="730" min="6" max="7"/>
    <col width="4.125" customWidth="1" style="730" min="8" max="8"/>
    <col width="3.125" customWidth="1" style="730" min="9" max="13"/>
    <col width="4.5" customWidth="1" style="730" min="14" max="14"/>
    <col width="3.125" customWidth="1" style="730" min="15" max="17"/>
    <col width="5.25" bestFit="1" customWidth="1" style="730" min="18" max="18"/>
    <col width="3.125" customWidth="1" style="730" min="19" max="22"/>
    <col width="3.875" customWidth="1" style="730" min="23" max="23"/>
    <col width="3.125" customWidth="1" style="730" min="24" max="24"/>
    <col width="4.25" customWidth="1" style="730" min="25" max="25"/>
    <col width="3.125" customWidth="1" style="730" min="26" max="26"/>
    <col width="4.625" customWidth="1" style="730" min="27" max="27"/>
    <col width="3.875" customWidth="1" style="730" min="28" max="28"/>
    <col width="3.125" customWidth="1" style="730" min="29" max="33"/>
    <col width="2.375" customWidth="1" style="730" min="34" max="36"/>
    <col width="3.75" customWidth="1" style="730" min="37" max="37"/>
    <col width="2.375" customWidth="1" style="730" min="38" max="55"/>
  </cols>
  <sheetData>
    <row r="1" ht="16.5" customHeight="1" s="730">
      <c r="A1" s="825" t="inlineStr">
        <is>
          <t>먼지시료채취 기록지</t>
        </is>
      </c>
    </row>
    <row r="2" ht="16.5" customHeight="1" s="730"/>
    <row r="3" ht="16.5" customHeight="1" s="730"/>
    <row r="4" ht="16.5" customHeight="1" s="730">
      <c r="A4" s="1827" t="n"/>
      <c r="B4" s="1827" t="n"/>
      <c r="C4" s="1827" t="n"/>
      <c r="D4" s="1827" t="n"/>
      <c r="E4" s="1827" t="n"/>
      <c r="F4" s="1827" t="n"/>
      <c r="G4" s="1827" t="n"/>
      <c r="H4" s="1827" t="n"/>
      <c r="I4" s="1827" t="n"/>
      <c r="J4" s="1827" t="n"/>
      <c r="K4" s="1827" t="n"/>
      <c r="L4" s="1827" t="n"/>
      <c r="M4" s="1827" t="n"/>
      <c r="N4" s="1827" t="n"/>
      <c r="O4" s="1827" t="n"/>
      <c r="P4" s="1827" t="n"/>
      <c r="Q4" s="1827" t="n"/>
      <c r="R4" s="1827" t="n"/>
      <c r="S4" s="1827" t="n"/>
      <c r="T4" s="1827" t="n"/>
      <c r="U4" s="1827" t="n"/>
      <c r="V4" s="1827" t="n"/>
      <c r="W4" s="1827" t="n"/>
      <c r="X4" s="1827" t="n"/>
      <c r="Y4" s="1827" t="n"/>
      <c r="Z4" s="1827" t="n"/>
      <c r="AA4" s="1827" t="n"/>
      <c r="AB4" s="1827" t="n"/>
      <c r="AC4" s="1827" t="n"/>
      <c r="AD4" s="1827" t="n"/>
      <c r="AE4" s="1827" t="n"/>
      <c r="AF4" s="1827" t="n"/>
      <c r="AG4" s="1827" t="n"/>
    </row>
    <row r="5" ht="24.6" customHeight="1" s="730">
      <c r="A5" s="1828" t="inlineStr">
        <is>
          <t>업소명:</t>
        </is>
      </c>
      <c r="B5" s="1829" t="n"/>
      <c r="C5" s="1829" t="n"/>
      <c r="D5" s="1829" t="n"/>
      <c r="E5" s="1829" t="n"/>
      <c r="F5" s="1829" t="n"/>
      <c r="G5" s="1829" t="n"/>
      <c r="H5" s="1830" t="n"/>
      <c r="I5" s="1831" t="n"/>
      <c r="J5" s="1829" t="n"/>
      <c r="K5" s="1829" t="n"/>
      <c r="L5" s="1829" t="n"/>
      <c r="M5" s="1829" t="n"/>
      <c r="N5" s="1830" t="n"/>
      <c r="O5" s="229" t="inlineStr">
        <is>
          <t>Ds:</t>
        </is>
      </c>
      <c r="P5" s="1131">
        <f>IF(입력!E16=0,입력!D16,2*(입력!E16*입력!F16)/(입력!E16+입력!F16))</f>
        <v/>
      </c>
      <c r="Q5" s="1829" t="n"/>
      <c r="R5" s="230" t="inlineStr">
        <is>
          <t>m</t>
        </is>
      </c>
      <c r="S5" s="231" t="inlineStr">
        <is>
          <t>A:</t>
        </is>
      </c>
      <c r="T5" s="1832">
        <f>IF(입력!$E$16=0,I13*I13*PI()/4,입력!$E$16*입력!$F$16)</f>
        <v/>
      </c>
      <c r="U5" s="1829" t="n"/>
      <c r="V5" s="232" t="inlineStr">
        <is>
          <t>m2</t>
        </is>
      </c>
      <c r="W5" s="1831" t="inlineStr">
        <is>
          <t>피토우관계수:</t>
        </is>
      </c>
      <c r="X5" s="1829" t="n"/>
      <c r="Y5" s="1829" t="n"/>
      <c r="Z5" s="1829" t="n"/>
      <c r="AA5" s="1830" t="n"/>
      <c r="AB5" s="1828">
        <f>'먼지측정 사전 Data'!H62</f>
        <v/>
      </c>
      <c r="AC5" s="1829" t="n"/>
      <c r="AD5" s="1829" t="n"/>
      <c r="AE5" s="1829" t="n"/>
      <c r="AF5" s="1829" t="n"/>
      <c r="AG5" s="1830" t="n"/>
      <c r="AL5" s="494" t="n"/>
    </row>
    <row r="6" ht="24.6" customHeight="1" s="730">
      <c r="A6" s="1828" t="inlineStr">
        <is>
          <t>측정대상명:</t>
        </is>
      </c>
      <c r="B6" s="1829" t="n"/>
      <c r="C6" s="1829" t="n"/>
      <c r="D6" s="1829" t="n"/>
      <c r="E6" s="1829" t="n"/>
      <c r="F6" s="1829" t="n"/>
      <c r="G6" s="1829" t="n"/>
      <c r="H6" s="1830" t="n"/>
      <c r="I6" s="1831" t="n"/>
      <c r="J6" s="1829" t="n"/>
      <c r="K6" s="1829" t="n"/>
      <c r="L6" s="1829" t="n"/>
      <c r="M6" s="1829" t="n"/>
      <c r="N6" s="1830" t="n"/>
      <c r="O6" s="78" t="n"/>
      <c r="P6" s="79" t="n"/>
      <c r="Q6" s="79" t="n"/>
      <c r="R6" s="79" t="n"/>
      <c r="S6" s="79" t="n"/>
      <c r="T6" s="79" t="n"/>
      <c r="U6" s="79" t="n"/>
      <c r="V6" s="80" t="n"/>
      <c r="W6" s="1831" t="inlineStr">
        <is>
          <t>기온,℃:</t>
        </is>
      </c>
      <c r="X6" s="1829" t="n"/>
      <c r="Y6" s="1829" t="n"/>
      <c r="Z6" s="1829" t="n"/>
      <c r="AA6" s="1830" t="n"/>
      <c r="AB6" s="1828" t="n"/>
      <c r="AC6" s="1829" t="n"/>
      <c r="AD6" s="1829" t="n"/>
      <c r="AE6" s="1829" t="n"/>
      <c r="AF6" s="1829" t="n"/>
      <c r="AG6" s="1830" t="n"/>
    </row>
    <row r="7" ht="24.6" customHeight="1" s="730">
      <c r="A7" s="1828" t="inlineStr">
        <is>
          <t>측정일:</t>
        </is>
      </c>
      <c r="B7" s="1829" t="n"/>
      <c r="C7" s="1829" t="n"/>
      <c r="D7" s="1829" t="n"/>
      <c r="E7" s="1829" t="n"/>
      <c r="F7" s="1829" t="n"/>
      <c r="G7" s="1829" t="n"/>
      <c r="H7" s="1830" t="n"/>
      <c r="I7" s="1833" t="n"/>
      <c r="J7" s="1829" t="n"/>
      <c r="K7" s="1829" t="n"/>
      <c r="L7" s="1829" t="n"/>
      <c r="M7" s="1829" t="n"/>
      <c r="N7" s="1829" t="n"/>
      <c r="O7" s="1834" t="n"/>
      <c r="P7" s="1835" t="n"/>
      <c r="Q7" s="1835" t="n"/>
      <c r="R7" s="1835" t="n"/>
      <c r="S7" s="79" t="n"/>
      <c r="T7" s="79" t="n"/>
      <c r="U7" s="79" t="n"/>
      <c r="V7" s="80" t="n"/>
      <c r="W7" s="1831" t="inlineStr">
        <is>
          <t>대기압, mmHg:</t>
        </is>
      </c>
      <c r="X7" s="1829" t="n"/>
      <c r="Y7" s="1829" t="n"/>
      <c r="Z7" s="1829" t="n"/>
      <c r="AA7" s="1830" t="n"/>
      <c r="AB7" s="1828" t="n"/>
      <c r="AC7" s="1829" t="n"/>
      <c r="AD7" s="1829" t="n"/>
      <c r="AE7" s="1829" t="n"/>
      <c r="AF7" s="1829" t="n"/>
      <c r="AG7" s="1830" t="n"/>
    </row>
    <row r="8" ht="24.6" customHeight="1" s="730">
      <c r="A8" s="1828" t="inlineStr">
        <is>
          <t>측정번호:</t>
        </is>
      </c>
      <c r="B8" s="1829" t="n"/>
      <c r="C8" s="1829" t="n"/>
      <c r="D8" s="1829" t="n"/>
      <c r="E8" s="1829" t="n"/>
      <c r="F8" s="1829" t="n"/>
      <c r="G8" s="1829" t="n"/>
      <c r="H8" s="1830" t="n"/>
      <c r="I8" s="1051" t="n"/>
      <c r="J8" s="1829" t="n"/>
      <c r="K8" s="1829" t="n"/>
      <c r="L8" s="1829" t="n"/>
      <c r="M8" s="1829" t="n"/>
      <c r="N8" s="1829" t="n"/>
      <c r="O8" s="78" t="n"/>
      <c r="P8" s="79" t="n"/>
      <c r="Q8" s="79" t="n"/>
      <c r="R8" s="79" t="n"/>
      <c r="S8" s="79" t="n"/>
      <c r="T8" s="79" t="n"/>
      <c r="U8" s="79" t="n"/>
      <c r="V8" s="80" t="n"/>
      <c r="W8" s="1836" t="inlineStr">
        <is>
          <t>측정위치의</t>
        </is>
      </c>
      <c r="X8" s="1837" t="n"/>
      <c r="Y8" s="1837" t="n"/>
      <c r="Z8" s="1837" t="n"/>
      <c r="AA8" s="1838" t="n"/>
      <c r="AB8" s="1828">
        <f>'먼지측정 사전 Data'!H11</f>
        <v/>
      </c>
      <c r="AC8" s="1837" t="n"/>
      <c r="AD8" s="1837" t="n"/>
      <c r="AE8" s="1837" t="n"/>
      <c r="AF8" s="1837" t="n"/>
      <c r="AG8" s="1838" t="n"/>
    </row>
    <row r="9" ht="24.6" customHeight="1" s="730">
      <c r="A9" s="1828" t="inlineStr">
        <is>
          <t>오리피스미터 ΔH(mmHg):</t>
        </is>
      </c>
      <c r="B9" s="1829" t="n"/>
      <c r="C9" s="1829" t="n"/>
      <c r="D9" s="1829" t="n"/>
      <c r="E9" s="1829" t="n"/>
      <c r="F9" s="1829" t="n"/>
      <c r="G9" s="1829" t="n"/>
      <c r="H9" s="1830" t="n"/>
      <c r="I9" s="1839" t="n"/>
      <c r="J9" s="1829" t="n"/>
      <c r="K9" s="1829" t="n"/>
      <c r="L9" s="1829" t="n"/>
      <c r="M9" s="1829" t="n"/>
      <c r="N9" s="1829" t="n"/>
      <c r="O9" s="1840" t="n"/>
      <c r="P9" s="1841" t="n"/>
      <c r="Q9" s="1841" t="n"/>
      <c r="R9" s="1841" t="n"/>
      <c r="S9" s="79" t="n"/>
      <c r="T9" s="79" t="n"/>
      <c r="U9" s="79" t="n"/>
      <c r="V9" s="80" t="n"/>
      <c r="W9" s="1842" t="inlineStr">
        <is>
          <t>기압, mmHg:</t>
        </is>
      </c>
      <c r="X9" s="1827" t="n"/>
      <c r="Y9" s="1827" t="n"/>
      <c r="Z9" s="1827" t="n"/>
      <c r="AA9" s="1843" t="n"/>
      <c r="AB9" s="1844" t="n"/>
      <c r="AC9" s="1827" t="n"/>
      <c r="AD9" s="1827" t="n"/>
      <c r="AE9" s="1827" t="n"/>
      <c r="AF9" s="1827" t="n"/>
      <c r="AG9" s="1843" t="n"/>
    </row>
    <row r="10" ht="24.6" customHeight="1" s="730">
      <c r="A10" s="1828" t="inlineStr">
        <is>
          <t>산소량(%):</t>
        </is>
      </c>
      <c r="B10" s="1829" t="n"/>
      <c r="C10" s="1829" t="n"/>
      <c r="D10" s="1829" t="n"/>
      <c r="E10" s="1829" t="n"/>
      <c r="F10" s="1829" t="n"/>
      <c r="G10" s="1829" t="n"/>
      <c r="H10" s="1830" t="n"/>
      <c r="I10" s="1051" t="n"/>
      <c r="J10" s="1829" t="n"/>
      <c r="K10" s="1829" t="n"/>
      <c r="L10" s="1829" t="n"/>
      <c r="M10" s="1829" t="n"/>
      <c r="N10" s="1829" t="n"/>
      <c r="O10" s="78" t="n"/>
      <c r="P10" s="79" t="n"/>
      <c r="Q10" s="79" t="n"/>
      <c r="R10" s="79" t="n"/>
      <c r="S10" s="79" t="n"/>
      <c r="T10" s="79" t="n"/>
      <c r="U10" s="79" t="n"/>
      <c r="V10" s="80" t="n"/>
      <c r="W10" s="1831" t="inlineStr">
        <is>
          <t>수분량(%):</t>
        </is>
      </c>
      <c r="X10" s="1829" t="n"/>
      <c r="Y10" s="1829" t="n"/>
      <c r="Z10" s="1829" t="n"/>
      <c r="AA10" s="1830" t="n"/>
      <c r="AB10" s="1845" t="n"/>
      <c r="AC10" s="1829" t="n"/>
      <c r="AD10" s="1829" t="n"/>
      <c r="AE10" s="1829" t="n"/>
      <c r="AF10" s="1829" t="n"/>
      <c r="AG10" s="1830" t="n"/>
    </row>
    <row r="11" ht="24.6" customHeight="1" s="730">
      <c r="A11" s="1828" t="inlineStr">
        <is>
          <t>K Factor:</t>
        </is>
      </c>
      <c r="B11" s="1829" t="n"/>
      <c r="C11" s="1829" t="n"/>
      <c r="D11" s="1829" t="n"/>
      <c r="E11" s="1829" t="n"/>
      <c r="F11" s="1829" t="n"/>
      <c r="G11" s="1829" t="n"/>
      <c r="H11" s="1830" t="n"/>
      <c r="I11" s="1846" t="n"/>
      <c r="J11" s="1829" t="n"/>
      <c r="K11" s="1829" t="n"/>
      <c r="L11" s="1829" t="n"/>
      <c r="M11" s="1829" t="n"/>
      <c r="N11" s="1829" t="n"/>
      <c r="O11" s="235" t="inlineStr">
        <is>
          <t>1번:</t>
        </is>
      </c>
      <c r="P11" s="1030">
        <f>P5/2</f>
        <v/>
      </c>
      <c r="R11" s="1031" t="inlineStr">
        <is>
          <t>X</t>
        </is>
      </c>
      <c r="S11" s="1031">
        <f>IF(입력!D16&lt;1,0.707,0.5)</f>
        <v/>
      </c>
      <c r="U11" s="237" t="inlineStr">
        <is>
          <t>=</t>
        </is>
      </c>
      <c r="V11" s="1847">
        <f>P11*S11</f>
        <v/>
      </c>
      <c r="W11" s="1831" t="inlineStr">
        <is>
          <t>흡인관 길이, m:</t>
        </is>
      </c>
      <c r="X11" s="1829" t="n"/>
      <c r="Y11" s="1829" t="n"/>
      <c r="Z11" s="1829" t="n"/>
      <c r="AA11" s="1830" t="n"/>
      <c r="AB11" s="1828" t="n"/>
      <c r="AC11" s="1829" t="n"/>
      <c r="AD11" s="1829" t="n"/>
      <c r="AE11" s="1829" t="n"/>
      <c r="AF11" s="1829" t="n"/>
      <c r="AG11" s="1830" t="n"/>
    </row>
    <row r="12" ht="24.6" customHeight="1" s="730">
      <c r="A12" s="1828" t="inlineStr">
        <is>
          <t>등속흡인계수(%):</t>
        </is>
      </c>
      <c r="B12" s="1829" t="n"/>
      <c r="C12" s="1829" t="n"/>
      <c r="D12" s="1829" t="n"/>
      <c r="E12" s="1829" t="n"/>
      <c r="F12" s="1829" t="n"/>
      <c r="G12" s="1829" t="n"/>
      <c r="H12" s="1830" t="n"/>
      <c r="I12" s="1839" t="n"/>
      <c r="J12" s="1829" t="n"/>
      <c r="K12" s="1829" t="n"/>
      <c r="L12" s="1829" t="n"/>
      <c r="M12" s="1829" t="n"/>
      <c r="N12" s="1829" t="n"/>
      <c r="O12" s="238">
        <f>IF(입력!D16&lt;1,"","2번")</f>
        <v/>
      </c>
      <c r="P12" s="1135">
        <f>IF(O12="","",0.75)</f>
        <v/>
      </c>
      <c r="Q12" s="1827" t="n"/>
      <c r="R12" s="1136">
        <f>IF(P12="","",R11)</f>
        <v/>
      </c>
      <c r="S12" s="1136">
        <f>IF(R12="","",0.866)</f>
        <v/>
      </c>
      <c r="T12" s="1827" t="n"/>
      <c r="U12" s="240">
        <f>IF(S12="","","=")</f>
        <v/>
      </c>
      <c r="V12" s="1848">
        <f>IF(U12="","",P12*S12)</f>
        <v/>
      </c>
      <c r="W12" s="1831" t="inlineStr">
        <is>
          <t>흡인노즐 직경, cm:</t>
        </is>
      </c>
      <c r="X12" s="1829" t="n"/>
      <c r="Y12" s="1829" t="n"/>
      <c r="Z12" s="1829" t="n"/>
      <c r="AA12" s="1830" t="n"/>
      <c r="AB12" s="1828" t="n"/>
      <c r="AC12" s="1829" t="n"/>
      <c r="AD12" s="1829" t="n"/>
      <c r="AE12" s="1829" t="n"/>
      <c r="AF12" s="1829" t="n"/>
      <c r="AG12" s="1830" t="n"/>
    </row>
    <row r="13" ht="24.6" customHeight="1" s="730">
      <c r="A13" s="1828" t="inlineStr">
        <is>
          <t>굴뚝 직경(m) - 원형</t>
        </is>
      </c>
      <c r="B13" s="1829" t="n"/>
      <c r="C13" s="1829" t="n"/>
      <c r="D13" s="1829" t="n"/>
      <c r="E13" s="1829" t="n"/>
      <c r="F13" s="1829" t="n"/>
      <c r="G13" s="1829" t="n"/>
      <c r="H13" s="1830" t="n"/>
      <c r="I13" s="1849" t="n"/>
      <c r="J13" s="1829" t="n"/>
      <c r="K13" s="1829" t="n"/>
      <c r="L13" s="1829" t="n"/>
      <c r="M13" s="1829" t="n"/>
      <c r="N13" s="1829" t="n"/>
      <c r="O13" s="1829" t="n"/>
      <c r="P13" s="1829" t="n"/>
      <c r="Q13" s="1829" t="n"/>
      <c r="R13" s="1830" t="n"/>
      <c r="S13" s="1828" t="inlineStr">
        <is>
          <t>배출가스정압, mmHg:</t>
        </is>
      </c>
      <c r="T13" s="1829" t="n"/>
      <c r="U13" s="1829" t="n"/>
      <c r="V13" s="1829" t="n"/>
      <c r="W13" s="1829" t="n"/>
      <c r="X13" s="1829" t="n"/>
      <c r="Y13" s="1829" t="n"/>
      <c r="Z13" s="1829" t="n"/>
      <c r="AA13" s="1830" t="n"/>
      <c r="AB13" s="1850" t="n"/>
      <c r="AC13" s="1829" t="n"/>
      <c r="AD13" s="1829" t="n"/>
      <c r="AE13" s="1829" t="n"/>
      <c r="AF13" s="1829" t="n"/>
      <c r="AG13" s="1830" t="n"/>
      <c r="AP13" s="34" t="n"/>
      <c r="AQ13" s="34" t="n"/>
      <c r="AR13" s="34" t="n"/>
      <c r="AS13" s="34" t="n"/>
      <c r="AT13" s="34" t="n"/>
      <c r="AU13" s="34" t="n"/>
      <c r="AV13" s="34" t="n"/>
      <c r="AW13" s="34" t="n"/>
    </row>
    <row r="14" ht="24.6" customHeight="1" s="730">
      <c r="A14" s="1828" t="inlineStr">
        <is>
          <t>굴뚝 직경(m) - 사각</t>
        </is>
      </c>
      <c r="B14" s="1837" t="n"/>
      <c r="C14" s="1837" t="n"/>
      <c r="D14" s="1837" t="n"/>
      <c r="E14" s="1837" t="n"/>
      <c r="F14" s="1837" t="n"/>
      <c r="G14" s="1837" t="n"/>
      <c r="H14" s="1838" t="n"/>
      <c r="I14" s="1850" t="inlineStr">
        <is>
          <t>가로</t>
        </is>
      </c>
      <c r="J14" s="1829" t="n"/>
      <c r="K14" s="1830" t="n"/>
      <c r="L14" s="1851" t="n"/>
      <c r="M14" s="1829" t="n"/>
      <c r="N14" s="1829" t="n"/>
      <c r="O14" s="1829" t="n"/>
      <c r="P14" s="1829" t="n"/>
      <c r="Q14" s="1829" t="n"/>
      <c r="R14" s="1830" t="n"/>
      <c r="S14" s="1828" t="inlineStr">
        <is>
          <t>굴뚝 단면적(m2)</t>
        </is>
      </c>
      <c r="T14" s="1829" t="n"/>
      <c r="U14" s="1829" t="n"/>
      <c r="V14" s="1829" t="n"/>
      <c r="W14" s="1829" t="n"/>
      <c r="X14" s="1829" t="n"/>
      <c r="Y14" s="1829" t="n"/>
      <c r="Z14" s="1829" t="n"/>
      <c r="AA14" s="1830" t="n"/>
      <c r="AB14" s="1852" t="n"/>
      <c r="AC14" s="1829" t="n"/>
      <c r="AD14" s="1829" t="n"/>
      <c r="AE14" s="1829" t="n"/>
      <c r="AF14" s="1829" t="n"/>
      <c r="AG14" s="1830" t="n"/>
      <c r="AM14" s="807" t="n"/>
    </row>
    <row r="15" ht="24.6" customHeight="1" s="730">
      <c r="A15" s="1844" t="n"/>
      <c r="B15" s="1827" t="n"/>
      <c r="C15" s="1827" t="n"/>
      <c r="D15" s="1827" t="n"/>
      <c r="E15" s="1827" t="n"/>
      <c r="F15" s="1827" t="n"/>
      <c r="G15" s="1827" t="n"/>
      <c r="H15" s="1843" t="n"/>
      <c r="I15" s="1828" t="inlineStr">
        <is>
          <t>세로</t>
        </is>
      </c>
      <c r="J15" s="1829" t="n"/>
      <c r="K15" s="1830" t="n"/>
      <c r="L15" s="1851" t="n"/>
      <c r="M15" s="1829" t="n"/>
      <c r="N15" s="1829" t="n"/>
      <c r="O15" s="1829" t="n"/>
      <c r="P15" s="1829" t="n"/>
      <c r="Q15" s="1829" t="n"/>
      <c r="R15" s="1830" t="n"/>
      <c r="S15" s="1828" t="inlineStr">
        <is>
          <t>습도</t>
        </is>
      </c>
      <c r="T15" s="1830" t="n"/>
      <c r="U15" s="1828" t="n"/>
      <c r="V15" s="1830" t="n"/>
      <c r="W15" s="1828" t="inlineStr">
        <is>
          <t>풍향</t>
        </is>
      </c>
      <c r="X15" s="1830" t="n"/>
      <c r="Y15" s="1828" t="n"/>
      <c r="Z15" s="1829" t="n"/>
      <c r="AA15" s="1830" t="n"/>
      <c r="AB15" s="1828" t="inlineStr">
        <is>
          <t>풍 속</t>
        </is>
      </c>
      <c r="AC15" s="1829" t="n"/>
      <c r="AD15" s="1830" t="n"/>
      <c r="AE15" s="1828" t="n"/>
      <c r="AF15" s="1829" t="n"/>
      <c r="AG15" s="1830" t="n"/>
    </row>
    <row r="16" ht="24.6" customHeight="1" s="730">
      <c r="C16" s="13" t="n"/>
    </row>
    <row r="17" ht="24.6" customHeight="1" s="730"/>
    <row r="18" ht="24.6" customHeight="1" s="730">
      <c r="A18" s="799" t="inlineStr">
        <is>
          <t>채취점</t>
        </is>
      </c>
      <c r="B18" s="1837" t="n"/>
      <c r="C18" s="1837" t="n"/>
      <c r="D18" s="1853" t="inlineStr">
        <is>
          <t>시료채취</t>
        </is>
      </c>
      <c r="E18" s="1837" t="n"/>
      <c r="F18" s="1838" t="n"/>
      <c r="G18" s="1035" t="inlineStr">
        <is>
          <t>진공</t>
        </is>
      </c>
      <c r="H18" s="1837" t="n"/>
      <c r="I18" s="1837" t="n"/>
      <c r="J18" s="1853" t="inlineStr">
        <is>
          <t>배출가스</t>
        </is>
      </c>
      <c r="K18" s="1837" t="n"/>
      <c r="L18" s="1838" t="n"/>
      <c r="M18" s="1035" t="inlineStr">
        <is>
          <t>배출가스</t>
        </is>
      </c>
      <c r="N18" s="1837" t="n"/>
      <c r="O18" s="1837" t="n"/>
      <c r="P18" s="1853" t="inlineStr">
        <is>
          <t>오리피스</t>
        </is>
      </c>
      <c r="Q18" s="1837" t="n"/>
      <c r="R18" s="1838" t="n"/>
      <c r="S18" s="1035" t="inlineStr">
        <is>
          <t>시료</t>
        </is>
      </c>
      <c r="T18" s="1837" t="n"/>
      <c r="U18" s="1837" t="n"/>
      <c r="V18" s="1853" t="inlineStr">
        <is>
          <t>건식가스미터</t>
        </is>
      </c>
      <c r="W18" s="1837" t="n"/>
      <c r="X18" s="1837" t="n"/>
      <c r="Y18" s="1837" t="n"/>
      <c r="Z18" s="1837" t="n"/>
      <c r="AA18" s="1838" t="n"/>
      <c r="AB18" s="1853" t="inlineStr">
        <is>
          <t>여과지</t>
        </is>
      </c>
      <c r="AC18" s="1837" t="n"/>
      <c r="AD18" s="1838" t="n"/>
      <c r="AE18" s="798" t="inlineStr">
        <is>
          <t>최종임</t>
        </is>
      </c>
      <c r="AF18" s="1837" t="n"/>
      <c r="AG18" s="1838" t="n"/>
      <c r="AH18" s="13" t="n"/>
      <c r="AI18" s="13" t="n"/>
      <c r="AJ18" s="13" t="n"/>
      <c r="AK18" s="13" t="n"/>
      <c r="AL18" s="13" t="n"/>
      <c r="AM18" s="13" t="n"/>
      <c r="AN18" s="13" t="n"/>
      <c r="AO18" s="13" t="n"/>
    </row>
    <row r="19" ht="24.6" customHeight="1" s="730">
      <c r="A19" s="791" t="inlineStr">
        <is>
          <t>번호</t>
        </is>
      </c>
      <c r="D19" s="790" t="inlineStr">
        <is>
          <t>시간</t>
        </is>
      </c>
      <c r="F19" s="1854" t="n"/>
      <c r="G19" s="792" t="inlineStr">
        <is>
          <t>게이지압</t>
        </is>
      </c>
      <c r="J19" s="790" t="inlineStr">
        <is>
          <t>온도</t>
        </is>
      </c>
      <c r="L19" s="1854" t="n"/>
      <c r="M19" s="792" t="inlineStr">
        <is>
          <t>동압</t>
        </is>
      </c>
      <c r="P19" s="790" t="inlineStr">
        <is>
          <t>압차</t>
        </is>
      </c>
      <c r="R19" s="1854" t="n"/>
      <c r="S19" s="792" t="inlineStr">
        <is>
          <t>채취량</t>
        </is>
      </c>
      <c r="V19" s="790" t="inlineStr">
        <is>
          <t>에서의 온도(℃)</t>
        </is>
      </c>
      <c r="AA19" s="1854" t="n"/>
      <c r="AB19" s="790" t="inlineStr">
        <is>
          <t>홀더온도</t>
        </is>
      </c>
      <c r="AD19" s="1854" t="n"/>
      <c r="AE19" s="793" t="inlineStr">
        <is>
          <t>핀저출구</t>
        </is>
      </c>
      <c r="AG19" s="1854" t="n"/>
      <c r="AH19" s="13" t="n"/>
      <c r="AI19" s="13" t="n"/>
      <c r="AJ19" s="13" t="n"/>
      <c r="AK19" s="13" t="n"/>
      <c r="AL19" s="13" t="n"/>
      <c r="AM19" s="13" t="n"/>
      <c r="AN19" s="13" t="n"/>
      <c r="AO19" s="13" t="n"/>
    </row>
    <row r="20" ht="24.6" customHeight="1" s="730">
      <c r="A20" s="788" t="n"/>
      <c r="B20" s="1827" t="n"/>
      <c r="C20" s="1827" t="n"/>
      <c r="D20" s="805" t="inlineStr">
        <is>
          <t>(min)</t>
        </is>
      </c>
      <c r="E20" s="1827" t="n"/>
      <c r="F20" s="1843" t="n"/>
      <c r="G20" s="1036" t="inlineStr">
        <is>
          <t>(cmHg)</t>
        </is>
      </c>
      <c r="H20" s="1827" t="n"/>
      <c r="I20" s="1827" t="n"/>
      <c r="J20" s="805" t="inlineStr">
        <is>
          <t>(℃)</t>
        </is>
      </c>
      <c r="K20" s="1827" t="n"/>
      <c r="L20" s="1843" t="n"/>
      <c r="M20" s="1036" t="inlineStr">
        <is>
          <t>(mmH2O)</t>
        </is>
      </c>
      <c r="N20" s="1827" t="n"/>
      <c r="O20" s="1827" t="n"/>
      <c r="P20" s="805" t="inlineStr">
        <is>
          <t>(mmH2O)</t>
        </is>
      </c>
      <c r="Q20" s="1827" t="n"/>
      <c r="R20" s="1843" t="n"/>
      <c r="S20" s="1036" t="inlineStr">
        <is>
          <t>(m3)</t>
        </is>
      </c>
      <c r="T20" s="1827" t="n"/>
      <c r="U20" s="1827" t="n"/>
      <c r="V20" s="1855" t="inlineStr">
        <is>
          <t>입구</t>
        </is>
      </c>
      <c r="W20" s="1829" t="n"/>
      <c r="X20" s="1830" t="n"/>
      <c r="Y20" s="1855" t="inlineStr">
        <is>
          <t>출구</t>
        </is>
      </c>
      <c r="Z20" s="1829" t="n"/>
      <c r="AA20" s="1830" t="n"/>
      <c r="AB20" s="805" t="inlineStr">
        <is>
          <t>(℃)</t>
        </is>
      </c>
      <c r="AC20" s="1827" t="n"/>
      <c r="AD20" s="1843" t="n"/>
      <c r="AE20" s="1037" t="inlineStr">
        <is>
          <t>온도(℃)</t>
        </is>
      </c>
      <c r="AF20" s="1827" t="n"/>
      <c r="AG20" s="1843" t="n"/>
      <c r="AH20" s="13" t="n"/>
      <c r="AI20" s="13" t="n"/>
      <c r="AJ20" s="13" t="n"/>
      <c r="AK20" s="13" t="n"/>
      <c r="AL20" s="13" t="n"/>
      <c r="AM20" s="13" t="n"/>
      <c r="AN20" s="13" t="n"/>
      <c r="AO20" s="13" t="n"/>
    </row>
    <row r="21" ht="24.6" customFormat="1" customHeight="1" s="2">
      <c r="A21" s="1856">
        <f>'먼지측정 사전 Data'!H64</f>
        <v/>
      </c>
      <c r="B21" s="1837" t="n"/>
      <c r="C21" s="1838" t="n"/>
      <c r="D21" s="1856" t="n"/>
      <c r="E21" s="1837" t="n"/>
      <c r="F21" s="1838" t="n"/>
      <c r="G21" s="1857" t="n"/>
      <c r="H21" s="1837" t="n"/>
      <c r="I21" s="1838" t="n"/>
      <c r="J21" s="1856" t="n"/>
      <c r="K21" s="1837" t="n"/>
      <c r="L21" s="1838" t="n"/>
      <c r="M21" s="1858" t="n"/>
      <c r="N21" s="1837" t="n"/>
      <c r="O21" s="1838" t="n"/>
      <c r="P21" s="1858" t="n"/>
      <c r="Q21" s="1837" t="n"/>
      <c r="R21" s="1838" t="n"/>
      <c r="S21" s="1859" t="n"/>
      <c r="T21" s="1837" t="n"/>
      <c r="U21" s="1838" t="n"/>
      <c r="V21" s="1856" t="n"/>
      <c r="W21" s="1837" t="n"/>
      <c r="X21" s="1838" t="n"/>
      <c r="Y21" s="1856" t="n"/>
      <c r="Z21" s="1837" t="n"/>
      <c r="AA21" s="1838" t="n"/>
      <c r="AB21" s="1856" t="inlineStr">
        <is>
          <t>-</t>
        </is>
      </c>
      <c r="AC21" s="1837" t="n"/>
      <c r="AD21" s="1838" t="n"/>
      <c r="AE21" s="1856" t="n"/>
      <c r="AF21" s="1837" t="n"/>
      <c r="AG21" s="1838" t="n"/>
    </row>
    <row r="22" ht="24.6" customFormat="1" customHeight="1" s="2">
      <c r="A22" s="1844" t="n"/>
      <c r="B22" s="1827" t="n"/>
      <c r="C22" s="1843" t="n"/>
      <c r="D22" s="1844" t="n"/>
      <c r="E22" s="1827" t="n"/>
      <c r="F22" s="1843" t="n"/>
      <c r="G22" s="1844" t="n"/>
      <c r="H22" s="1827" t="n"/>
      <c r="I22" s="1843" t="n"/>
      <c r="J22" s="1844" t="n"/>
      <c r="K22" s="1827" t="n"/>
      <c r="L22" s="1843" t="n"/>
      <c r="M22" s="1844" t="n"/>
      <c r="N22" s="1827" t="n"/>
      <c r="O22" s="1843" t="n"/>
      <c r="P22" s="1844" t="n"/>
      <c r="Q22" s="1827" t="n"/>
      <c r="R22" s="1843" t="n"/>
      <c r="S22" s="1844" t="n"/>
      <c r="T22" s="1827" t="n"/>
      <c r="U22" s="1843" t="n"/>
      <c r="V22" s="1844" t="n"/>
      <c r="W22" s="1827" t="n"/>
      <c r="X22" s="1843" t="n"/>
      <c r="Y22" s="1844" t="n"/>
      <c r="Z22" s="1827" t="n"/>
      <c r="AA22" s="1843" t="n"/>
      <c r="AB22" s="1844" t="n"/>
      <c r="AC22" s="1827" t="n"/>
      <c r="AD22" s="1843" t="n"/>
      <c r="AE22" s="1844" t="n"/>
      <c r="AF22" s="1827" t="n"/>
      <c r="AG22" s="1843" t="n"/>
    </row>
    <row r="23" ht="24.6" customFormat="1" customHeight="1" s="2">
      <c r="A23" s="1856" t="n"/>
      <c r="B23" s="1837" t="n"/>
      <c r="C23" s="1838" t="n"/>
      <c r="D23" s="1856" t="n"/>
      <c r="E23" s="1837" t="n"/>
      <c r="F23" s="1838" t="n"/>
      <c r="G23" s="1857" t="n"/>
      <c r="H23" s="1837" t="n"/>
      <c r="I23" s="1838" t="n"/>
      <c r="J23" s="1856" t="n"/>
      <c r="K23" s="1837" t="n"/>
      <c r="L23" s="1838" t="n"/>
      <c r="M23" s="1858" t="n"/>
      <c r="N23" s="1837" t="n"/>
      <c r="O23" s="1838" t="n"/>
      <c r="P23" s="1858" t="n"/>
      <c r="Q23" s="1837" t="n"/>
      <c r="R23" s="1838" t="n"/>
      <c r="S23" s="1860" t="n"/>
      <c r="T23" s="1837" t="n"/>
      <c r="U23" s="1838" t="n"/>
      <c r="V23" s="1857" t="n"/>
      <c r="W23" s="1837" t="n"/>
      <c r="X23" s="1838" t="n"/>
      <c r="Y23" s="1857" t="n"/>
      <c r="Z23" s="1837" t="n"/>
      <c r="AA23" s="1838" t="n"/>
      <c r="AB23" s="1857" t="n"/>
      <c r="AC23" s="1837" t="n"/>
      <c r="AD23" s="1838" t="n"/>
      <c r="AE23" s="1857" t="n"/>
      <c r="AF23" s="1837" t="n"/>
      <c r="AG23" s="1838" t="n"/>
    </row>
    <row r="24" ht="24.6" customFormat="1" customHeight="1" s="2">
      <c r="A24" s="1844" t="n"/>
      <c r="B24" s="1827" t="n"/>
      <c r="C24" s="1843" t="n"/>
      <c r="D24" s="1844" t="n"/>
      <c r="E24" s="1827" t="n"/>
      <c r="F24" s="1843" t="n"/>
      <c r="G24" s="1844" t="n"/>
      <c r="H24" s="1827" t="n"/>
      <c r="I24" s="1843" t="n"/>
      <c r="J24" s="1844" t="n"/>
      <c r="K24" s="1827" t="n"/>
      <c r="L24" s="1843" t="n"/>
      <c r="M24" s="1844" t="n"/>
      <c r="N24" s="1827" t="n"/>
      <c r="O24" s="1843" t="n"/>
      <c r="P24" s="1844" t="n"/>
      <c r="Q24" s="1827" t="n"/>
      <c r="R24" s="1843" t="n"/>
      <c r="S24" s="1844" t="n"/>
      <c r="T24" s="1827" t="n"/>
      <c r="U24" s="1843" t="n"/>
      <c r="V24" s="1844" t="n"/>
      <c r="W24" s="1827" t="n"/>
      <c r="X24" s="1843" t="n"/>
      <c r="Y24" s="1844" t="n"/>
      <c r="Z24" s="1827" t="n"/>
      <c r="AA24" s="1843" t="n"/>
      <c r="AB24" s="1844" t="n"/>
      <c r="AC24" s="1827" t="n"/>
      <c r="AD24" s="1843" t="n"/>
      <c r="AE24" s="1844" t="n"/>
      <c r="AF24" s="1827" t="n"/>
      <c r="AG24" s="1843" t="n"/>
    </row>
    <row r="25" ht="24.6" customFormat="1" customHeight="1" s="2">
      <c r="A25" s="1856" t="n"/>
      <c r="B25" s="1837" t="n"/>
      <c r="C25" s="1838" t="n"/>
      <c r="D25" s="1856" t="n"/>
      <c r="E25" s="1837" t="n"/>
      <c r="F25" s="1838" t="n"/>
      <c r="G25" s="1856" t="n"/>
      <c r="H25" s="1837" t="n"/>
      <c r="I25" s="1838" t="n"/>
      <c r="J25" s="1856" t="n"/>
      <c r="K25" s="1837" t="n"/>
      <c r="L25" s="1838" t="n"/>
      <c r="M25" s="1856" t="n"/>
      <c r="N25" s="1837" t="n"/>
      <c r="O25" s="1838" t="n"/>
      <c r="P25" s="1856" t="n"/>
      <c r="Q25" s="1837" t="n"/>
      <c r="R25" s="1838" t="n"/>
      <c r="S25" s="1860" t="n"/>
      <c r="T25" s="1837" t="n"/>
      <c r="U25" s="1838" t="n"/>
      <c r="V25" s="1856" t="n"/>
      <c r="W25" s="1837" t="n"/>
      <c r="X25" s="1838" t="n"/>
      <c r="Y25" s="1856" t="n"/>
      <c r="Z25" s="1837" t="n"/>
      <c r="AA25" s="1838" t="n"/>
      <c r="AB25" s="1856" t="n"/>
      <c r="AC25" s="1837" t="n"/>
      <c r="AD25" s="1838" t="n"/>
      <c r="AE25" s="1856" t="n"/>
      <c r="AF25" s="1837" t="n"/>
      <c r="AG25" s="1838" t="n"/>
      <c r="AK25" s="1045" t="inlineStr">
        <is>
          <t xml:space="preserve"> </t>
        </is>
      </c>
    </row>
    <row r="26" ht="24.6" customFormat="1" customHeight="1" s="2">
      <c r="A26" s="1844" t="n"/>
      <c r="B26" s="1827" t="n"/>
      <c r="C26" s="1843" t="n"/>
      <c r="D26" s="1844" t="n"/>
      <c r="E26" s="1827" t="n"/>
      <c r="F26" s="1843" t="n"/>
      <c r="G26" s="1844" t="n"/>
      <c r="H26" s="1827" t="n"/>
      <c r="I26" s="1843" t="n"/>
      <c r="J26" s="1844" t="n"/>
      <c r="K26" s="1827" t="n"/>
      <c r="L26" s="1843" t="n"/>
      <c r="M26" s="1844" t="n"/>
      <c r="N26" s="1827" t="n"/>
      <c r="O26" s="1843" t="n"/>
      <c r="P26" s="1844" t="n"/>
      <c r="Q26" s="1827" t="n"/>
      <c r="R26" s="1843" t="n"/>
      <c r="S26" s="1844" t="n"/>
      <c r="T26" s="1827" t="n"/>
      <c r="U26" s="1843" t="n"/>
      <c r="V26" s="1844" t="n"/>
      <c r="W26" s="1827" t="n"/>
      <c r="X26" s="1843" t="n"/>
      <c r="Y26" s="1844" t="n"/>
      <c r="Z26" s="1827" t="n"/>
      <c r="AA26" s="1843" t="n"/>
      <c r="AB26" s="1844" t="n"/>
      <c r="AC26" s="1827" t="n"/>
      <c r="AD26" s="1843" t="n"/>
      <c r="AE26" s="1844" t="n"/>
      <c r="AF26" s="1827" t="n"/>
      <c r="AG26" s="1843" t="n"/>
    </row>
    <row r="27" ht="24.6" customFormat="1" customHeight="1" s="2">
      <c r="A27" s="1856" t="n"/>
      <c r="B27" s="1837" t="n"/>
      <c r="C27" s="1838" t="n"/>
      <c r="D27" s="1856" t="n"/>
      <c r="E27" s="1837" t="n"/>
      <c r="F27" s="1838" t="n"/>
      <c r="G27" s="1856" t="n"/>
      <c r="H27" s="1837" t="n"/>
      <c r="I27" s="1838" t="n"/>
      <c r="J27" s="1856" t="n"/>
      <c r="K27" s="1837" t="n"/>
      <c r="L27" s="1838" t="n"/>
      <c r="M27" s="1856" t="n"/>
      <c r="N27" s="1837" t="n"/>
      <c r="O27" s="1838" t="n"/>
      <c r="P27" s="1856" t="n"/>
      <c r="Q27" s="1837" t="n"/>
      <c r="R27" s="1838" t="n"/>
      <c r="S27" s="1860" t="n"/>
      <c r="T27" s="1837" t="n"/>
      <c r="U27" s="1838" t="n"/>
      <c r="V27" s="1856" t="n"/>
      <c r="W27" s="1837" t="n"/>
      <c r="X27" s="1838" t="n"/>
      <c r="Y27" s="1856" t="n"/>
      <c r="Z27" s="1837" t="n"/>
      <c r="AA27" s="1838" t="n"/>
      <c r="AB27" s="1856" t="n"/>
      <c r="AC27" s="1837" t="n"/>
      <c r="AD27" s="1838" t="n"/>
      <c r="AE27" s="1856" t="n"/>
      <c r="AF27" s="1837" t="n"/>
      <c r="AG27" s="1838" t="n"/>
    </row>
    <row r="28" ht="24.6" customFormat="1" customHeight="1" s="2">
      <c r="A28" s="1844" t="n"/>
      <c r="B28" s="1827" t="n"/>
      <c r="C28" s="1843" t="n"/>
      <c r="D28" s="1844" t="n"/>
      <c r="E28" s="1827" t="n"/>
      <c r="F28" s="1843" t="n"/>
      <c r="G28" s="1844" t="n"/>
      <c r="H28" s="1827" t="n"/>
      <c r="I28" s="1843" t="n"/>
      <c r="J28" s="1844" t="n"/>
      <c r="K28" s="1827" t="n"/>
      <c r="L28" s="1843" t="n"/>
      <c r="M28" s="1844" t="n"/>
      <c r="N28" s="1827" t="n"/>
      <c r="O28" s="1843" t="n"/>
      <c r="P28" s="1844" t="n"/>
      <c r="Q28" s="1827" t="n"/>
      <c r="R28" s="1843" t="n"/>
      <c r="S28" s="1844" t="n"/>
      <c r="T28" s="1827" t="n"/>
      <c r="U28" s="1843" t="n"/>
      <c r="V28" s="1844" t="n"/>
      <c r="W28" s="1827" t="n"/>
      <c r="X28" s="1843" t="n"/>
      <c r="Y28" s="1844" t="n"/>
      <c r="Z28" s="1827" t="n"/>
      <c r="AA28" s="1843" t="n"/>
      <c r="AB28" s="1844" t="n"/>
      <c r="AC28" s="1827" t="n"/>
      <c r="AD28" s="1843" t="n"/>
      <c r="AE28" s="1844" t="n"/>
      <c r="AF28" s="1827" t="n"/>
      <c r="AG28" s="1843" t="n"/>
    </row>
    <row r="29" ht="24.6" customFormat="1" customHeight="1" s="2">
      <c r="A29" s="1856" t="n"/>
      <c r="B29" s="1837" t="n"/>
      <c r="C29" s="1838" t="n"/>
      <c r="D29" s="1856" t="n"/>
      <c r="E29" s="1837" t="n"/>
      <c r="F29" s="1838" t="n"/>
      <c r="G29" s="1856" t="n"/>
      <c r="H29" s="1837" t="n"/>
      <c r="I29" s="1838" t="n"/>
      <c r="J29" s="1856" t="n"/>
      <c r="K29" s="1837" t="n"/>
      <c r="L29" s="1838" t="n"/>
      <c r="M29" s="1856" t="n"/>
      <c r="N29" s="1837" t="n"/>
      <c r="O29" s="1838" t="n"/>
      <c r="P29" s="1856" t="n"/>
      <c r="Q29" s="1837" t="n"/>
      <c r="R29" s="1838" t="n"/>
      <c r="S29" s="1860" t="n"/>
      <c r="T29" s="1837" t="n"/>
      <c r="U29" s="1838" t="n"/>
      <c r="V29" s="1856" t="n"/>
      <c r="W29" s="1837" t="n"/>
      <c r="X29" s="1838" t="n"/>
      <c r="Y29" s="1856" t="n"/>
      <c r="Z29" s="1837" t="n"/>
      <c r="AA29" s="1838" t="n"/>
      <c r="AB29" s="1856" t="n"/>
      <c r="AC29" s="1837" t="n"/>
      <c r="AD29" s="1838" t="n"/>
      <c r="AE29" s="1856" t="n"/>
      <c r="AF29" s="1837" t="n"/>
      <c r="AG29" s="1838" t="n"/>
    </row>
    <row r="30" ht="24.6" customFormat="1" customHeight="1" s="2">
      <c r="A30" s="1844" t="n"/>
      <c r="B30" s="1827" t="n"/>
      <c r="C30" s="1843" t="n"/>
      <c r="D30" s="1844" t="n"/>
      <c r="E30" s="1827" t="n"/>
      <c r="F30" s="1843" t="n"/>
      <c r="G30" s="1844" t="n"/>
      <c r="H30" s="1827" t="n"/>
      <c r="I30" s="1843" t="n"/>
      <c r="J30" s="1844" t="n"/>
      <c r="K30" s="1827" t="n"/>
      <c r="L30" s="1843" t="n"/>
      <c r="M30" s="1844" t="n"/>
      <c r="N30" s="1827" t="n"/>
      <c r="O30" s="1843" t="n"/>
      <c r="P30" s="1844" t="n"/>
      <c r="Q30" s="1827" t="n"/>
      <c r="R30" s="1843" t="n"/>
      <c r="S30" s="1844" t="n"/>
      <c r="T30" s="1827" t="n"/>
      <c r="U30" s="1843" t="n"/>
      <c r="V30" s="1844" t="n"/>
      <c r="W30" s="1827" t="n"/>
      <c r="X30" s="1843" t="n"/>
      <c r="Y30" s="1844" t="n"/>
      <c r="Z30" s="1827" t="n"/>
      <c r="AA30" s="1843" t="n"/>
      <c r="AB30" s="1844" t="n"/>
      <c r="AC30" s="1827" t="n"/>
      <c r="AD30" s="1843" t="n"/>
      <c r="AE30" s="1844" t="n"/>
      <c r="AF30" s="1827" t="n"/>
      <c r="AG30" s="1843" t="n"/>
    </row>
    <row r="31" ht="24.6" customFormat="1" customHeight="1" s="2">
      <c r="A31" s="1856" t="inlineStr">
        <is>
          <t>합계</t>
        </is>
      </c>
      <c r="B31" s="1829" t="n"/>
      <c r="C31" s="1830" t="n"/>
      <c r="D31" s="1856" t="n"/>
      <c r="E31" s="1829" t="n"/>
      <c r="F31" s="1830" t="n"/>
      <c r="G31" s="1856" t="inlineStr">
        <is>
          <t>-</t>
        </is>
      </c>
      <c r="H31" s="1829" t="n"/>
      <c r="I31" s="1830" t="n"/>
      <c r="J31" s="1856" t="inlineStr">
        <is>
          <t>-</t>
        </is>
      </c>
      <c r="K31" s="1829" t="n"/>
      <c r="L31" s="1830" t="n"/>
      <c r="M31" s="1856" t="inlineStr">
        <is>
          <t>-</t>
        </is>
      </c>
      <c r="N31" s="1829" t="n"/>
      <c r="O31" s="1830" t="n"/>
      <c r="P31" s="1856" t="inlineStr">
        <is>
          <t>-</t>
        </is>
      </c>
      <c r="Q31" s="1829" t="n"/>
      <c r="R31" s="1830" t="n"/>
      <c r="S31" s="1859">
        <f>SUM(S21:U30)</f>
        <v/>
      </c>
      <c r="T31" s="1829" t="n"/>
      <c r="U31" s="1830" t="n"/>
      <c r="V31" s="1856" t="inlineStr">
        <is>
          <t>평균</t>
        </is>
      </c>
      <c r="W31" s="1829" t="n"/>
      <c r="X31" s="1830" t="n"/>
      <c r="Y31" s="1856" t="inlineStr">
        <is>
          <t>평균</t>
        </is>
      </c>
      <c r="Z31" s="1829" t="n"/>
      <c r="AA31" s="1830" t="n"/>
      <c r="AB31" s="1856" t="n"/>
      <c r="AC31" s="1829" t="n"/>
      <c r="AD31" s="1830" t="n"/>
      <c r="AE31" s="1856" t="inlineStr">
        <is>
          <t>-</t>
        </is>
      </c>
      <c r="AF31" s="1829" t="n"/>
      <c r="AG31" s="1830" t="n"/>
    </row>
    <row r="32" ht="24.6" customFormat="1" customHeight="1" s="2">
      <c r="A32" s="1856" t="inlineStr">
        <is>
          <t>평       균</t>
        </is>
      </c>
      <c r="B32" s="1829" t="n"/>
      <c r="C32" s="1829" t="n"/>
      <c r="D32" s="1829" t="n"/>
      <c r="E32" s="1829" t="n"/>
      <c r="F32" s="1830" t="n"/>
      <c r="G32" s="1857">
        <f>G21</f>
        <v/>
      </c>
      <c r="H32" s="1829" t="n"/>
      <c r="I32" s="1830" t="n"/>
      <c r="J32" s="1856" t="n"/>
      <c r="K32" s="1829" t="n"/>
      <c r="L32" s="1830" t="n"/>
      <c r="M32" s="1858" t="n"/>
      <c r="N32" s="1829" t="n"/>
      <c r="O32" s="1830" t="n"/>
      <c r="P32" s="1858" t="n"/>
      <c r="Q32" s="1829" t="n"/>
      <c r="R32" s="1830" t="n"/>
      <c r="S32" s="1860" t="inlineStr">
        <is>
          <t>-</t>
        </is>
      </c>
      <c r="T32" s="1829" t="n"/>
      <c r="U32" s="1830" t="n"/>
      <c r="V32" s="1856" t="inlineStr">
        <is>
          <t>평       균</t>
        </is>
      </c>
      <c r="W32" s="1829" t="n"/>
      <c r="X32" s="1829" t="n"/>
      <c r="Y32" s="1829" t="n"/>
      <c r="Z32" s="1829" t="n"/>
      <c r="AA32" s="1830" t="n"/>
      <c r="AB32" s="1856" t="n"/>
      <c r="AC32" s="1829" t="n"/>
      <c r="AD32" s="1830" t="n"/>
      <c r="AE32" s="1856">
        <f>'먼지측정 사전 Data'!R86</f>
        <v/>
      </c>
      <c r="AF32" s="1829" t="n"/>
      <c r="AG32" s="1830" t="n"/>
    </row>
    <row r="33" ht="24.6" customHeight="1" s="730"/>
    <row r="34" ht="24.6" customHeight="1" s="730"/>
    <row r="35" ht="24.6" customFormat="1" customHeight="1" s="14">
      <c r="A35" s="14" t="inlineStr">
        <is>
          <t>비고:</t>
        </is>
      </c>
      <c r="C35" s="202" t="inlineStr">
        <is>
          <t>1.</t>
        </is>
      </c>
      <c r="D35" s="14" t="inlineStr">
        <is>
          <t>시료채취중 임핀저 통과 후의 가스온도가 20℃가 넘을 경우엔 잘게 부순 얼음을 더 채우거나</t>
        </is>
      </c>
    </row>
    <row r="36" ht="24.6" customFormat="1" customHeight="1" s="14">
      <c r="D36" s="14" t="inlineStr">
        <is>
          <t>소금을 첨가하도록 한다.</t>
        </is>
      </c>
    </row>
    <row r="37" ht="24.6" customFormat="1" customHeight="1" s="14">
      <c r="C37" s="202" t="n"/>
    </row>
    <row r="38" ht="24.6" customFormat="1" customHeight="1" s="14">
      <c r="C38" s="202" t="inlineStr">
        <is>
          <t>2.</t>
        </is>
      </c>
      <c r="D38" s="14" t="inlineStr">
        <is>
          <t>먼지가 포집됨에 따라 여과지에 전후의 압력강화가 너무 높아저 등속흡인을 유지하기가</t>
        </is>
      </c>
    </row>
    <row r="39" ht="24.6" customFormat="1" customHeight="1" s="14">
      <c r="D39" s="14" t="inlineStr">
        <is>
          <t>어려울 경우에 새 여과지로 교환 (여과지 홀더도 같이 교환하는 것이 좋다)한 후 시료채취를</t>
        </is>
      </c>
    </row>
    <row r="40" ht="24.6" customFormat="1" customHeight="1" s="14">
      <c r="D40" s="14" t="inlineStr">
        <is>
          <t>계속한다. 이때 총포집먼지량은 각 여과지에 포함된 먼지량의 합이 된다.</t>
        </is>
      </c>
    </row>
    <row r="41" ht="16.35" customHeight="1" s="730"/>
    <row r="42" ht="15" customHeight="1" s="730"/>
    <row r="43" ht="15" customHeight="1" s="730"/>
    <row r="44" ht="12.95" customHeight="1" s="730"/>
    <row r="45" ht="12.95" customHeight="1" s="730"/>
    <row r="46" ht="12.95" customHeight="1" s="730"/>
    <row r="47" ht="12.95" customHeight="1" s="730"/>
    <row r="48" ht="12.95" customHeight="1" s="730">
      <c r="A48" s="1124" t="inlineStr">
        <is>
          <t>등속흡인을 위한 계산</t>
        </is>
      </c>
    </row>
    <row r="49" ht="12.95" customHeight="1" s="730"/>
    <row r="50" ht="6" customHeight="1" s="730">
      <c r="A50" s="1124" t="n"/>
      <c r="B50" s="1124" t="n"/>
      <c r="C50" s="1124" t="n"/>
      <c r="D50" s="1124" t="n"/>
      <c r="E50" s="1124" t="n"/>
      <c r="F50" s="1124" t="n"/>
      <c r="G50" s="1124" t="n"/>
      <c r="H50" s="1124" t="n"/>
      <c r="I50" s="1124" t="n"/>
      <c r="J50" s="1124" t="n"/>
      <c r="K50" s="1124" t="n"/>
      <c r="L50" s="1124" t="n"/>
      <c r="M50" s="1124" t="n"/>
      <c r="N50" s="1124" t="n"/>
      <c r="O50" s="1124" t="n"/>
      <c r="P50" s="1124" t="n"/>
      <c r="Q50" s="1124" t="n"/>
      <c r="R50" s="1124" t="n"/>
      <c r="S50" s="1124" t="n"/>
      <c r="T50" s="1124" t="n"/>
      <c r="U50" s="1124" t="n"/>
      <c r="V50" s="1124" t="n"/>
      <c r="W50" s="1124" t="n"/>
      <c r="X50" s="1124" t="n"/>
      <c r="Y50" s="1124" t="n"/>
      <c r="Z50" s="1124" t="n"/>
      <c r="AA50" s="1124" t="n"/>
      <c r="AB50" s="1124" t="n"/>
      <c r="AC50" s="1124" t="n"/>
      <c r="AD50" s="1124" t="n"/>
      <c r="AE50" s="1124" t="n"/>
      <c r="AF50" s="1124" t="n"/>
      <c r="AG50" s="1124" t="n"/>
    </row>
    <row r="51" ht="14.25" customHeight="1" s="730">
      <c r="Q51" s="1038" t="inlineStr">
        <is>
          <t>업   소   명:</t>
        </is>
      </c>
      <c r="W51" s="1125">
        <f>I5</f>
        <v/>
      </c>
    </row>
    <row r="52" ht="14.25" customHeight="1" s="730">
      <c r="Q52" s="1038" t="inlineStr">
        <is>
          <t>측   정   일:</t>
        </is>
      </c>
      <c r="W52" s="1861" t="n"/>
    </row>
    <row r="53" ht="30.6" customHeight="1" s="730">
      <c r="A53" s="1862" t="inlineStr">
        <is>
          <t>계    산    식</t>
        </is>
      </c>
      <c r="B53" s="1829" t="n"/>
      <c r="C53" s="1829" t="n"/>
      <c r="D53" s="1829" t="n"/>
      <c r="E53" s="1829" t="n"/>
      <c r="F53" s="1829" t="n"/>
      <c r="G53" s="1829" t="n"/>
      <c r="H53" s="1829" t="n"/>
      <c r="I53" s="1829" t="n"/>
      <c r="J53" s="1829" t="n"/>
      <c r="K53" s="1829" t="n"/>
      <c r="L53" s="1829" t="n"/>
      <c r="M53" s="1830" t="n"/>
      <c r="N53" s="1862" t="inlineStr">
        <is>
          <t>계        산</t>
        </is>
      </c>
      <c r="O53" s="1829" t="n"/>
      <c r="P53" s="1829" t="n"/>
      <c r="Q53" s="1829" t="n"/>
      <c r="R53" s="1829" t="n"/>
      <c r="S53" s="1829" t="n"/>
      <c r="T53" s="1829" t="n"/>
      <c r="U53" s="1829" t="n"/>
      <c r="V53" s="1829" t="n"/>
      <c r="W53" s="1829" t="n"/>
      <c r="X53" s="1829" t="n"/>
      <c r="Y53" s="1829" t="n"/>
      <c r="Z53" s="1829" t="n"/>
      <c r="AA53" s="1829" t="n"/>
      <c r="AB53" s="1829" t="n"/>
      <c r="AC53" s="1829" t="n"/>
      <c r="AD53" s="1829" t="n"/>
      <c r="AE53" s="1829" t="n"/>
      <c r="AF53" s="1829" t="n"/>
      <c r="AG53" s="1830" t="n"/>
    </row>
    <row r="54" ht="6" customHeight="1" s="730">
      <c r="A54" s="241" t="n"/>
      <c r="B54" s="1066" t="n"/>
      <c r="C54" s="1066" t="n"/>
      <c r="D54" s="1066" t="n"/>
      <c r="E54" s="1066" t="n"/>
      <c r="F54" s="1066" t="n"/>
      <c r="G54" s="1066" t="n"/>
      <c r="H54" s="1066" t="n"/>
      <c r="I54" s="1066" t="n"/>
      <c r="J54" s="1066" t="n"/>
      <c r="K54" s="1066" t="n"/>
      <c r="L54" s="1066" t="n"/>
      <c r="M54" s="243" t="n"/>
      <c r="N54" s="241" t="n"/>
      <c r="O54" s="1066" t="n"/>
      <c r="P54" s="1066" t="n"/>
      <c r="Q54" s="244" t="n"/>
      <c r="R54" s="244" t="n"/>
      <c r="S54" s="244" t="n"/>
      <c r="T54" s="244" t="n"/>
      <c r="U54" s="244" t="n"/>
      <c r="V54" s="244" t="n"/>
      <c r="W54" s="1863" t="n"/>
      <c r="X54" s="1863" t="n"/>
      <c r="Y54" s="1863" t="n"/>
      <c r="Z54" s="1863" t="n"/>
      <c r="AA54" s="1863" t="n"/>
      <c r="AB54" s="1863" t="n"/>
      <c r="AC54" s="1863" t="n"/>
      <c r="AD54" s="1863" t="n"/>
      <c r="AE54" s="1863" t="n"/>
      <c r="AF54" s="1066" t="n"/>
      <c r="AG54" s="243" t="n"/>
    </row>
    <row r="55" ht="23.45" customFormat="1" customHeight="1" s="14">
      <c r="A55" s="204" t="inlineStr">
        <is>
          <t>수분량 (%)</t>
        </is>
      </c>
      <c r="M55" s="205" t="n"/>
      <c r="N55" s="204" t="inlineStr">
        <is>
          <t>수분량</t>
        </is>
      </c>
      <c r="Q55" s="16" t="inlineStr">
        <is>
          <t>=</t>
        </is>
      </c>
      <c r="R55" s="1864">
        <f>'먼지측정 사전 Data'!H56</f>
        <v/>
      </c>
      <c r="V55" s="14" t="inlineStr">
        <is>
          <t>%</t>
        </is>
      </c>
      <c r="AG55" s="205" t="n"/>
    </row>
    <row r="56" ht="14.1" customFormat="1" customHeight="1" s="14">
      <c r="A56" s="204" t="n"/>
      <c r="M56" s="205" t="n"/>
      <c r="N56" s="204" t="n"/>
      <c r="V56" s="1026" t="n">
        <v>22.4</v>
      </c>
      <c r="W56" s="1827" t="n"/>
      <c r="X56" s="1827" t="n"/>
      <c r="Y56" s="1060">
        <f>'먼지측정 사전 Data'!H48</f>
        <v/>
      </c>
      <c r="AG56" s="205" t="n"/>
    </row>
    <row r="57" ht="14.1" customFormat="1" customHeight="1" s="14">
      <c r="A57" s="204" t="n"/>
      <c r="M57" s="205" t="n"/>
      <c r="N57" s="1143" t="inlineStr">
        <is>
          <t>Xw=</t>
        </is>
      </c>
      <c r="P57" s="17" t="n"/>
      <c r="Q57" s="17" t="n"/>
      <c r="R57" s="17" t="n"/>
      <c r="S57" s="17" t="n"/>
      <c r="T57" s="17" t="n"/>
      <c r="U57" s="17" t="n"/>
      <c r="V57" s="1026" t="n">
        <v>18</v>
      </c>
      <c r="W57" s="1827" t="n"/>
      <c r="X57" s="1827" t="n"/>
      <c r="Y57" s="1827" t="n"/>
      <c r="Z57" s="1827" t="n"/>
      <c r="AA57" s="17" t="n"/>
      <c r="AB57" s="17" t="n"/>
      <c r="AC57" s="17" t="n"/>
      <c r="AD57" s="17" t="n"/>
      <c r="AE57" s="1025" t="inlineStr">
        <is>
          <t>X100</t>
        </is>
      </c>
      <c r="AG57" s="1854" t="n"/>
    </row>
    <row r="58" ht="14.1" customFormat="1" customHeight="1" s="14">
      <c r="A58" s="204" t="n"/>
      <c r="M58" s="205" t="n"/>
      <c r="N58" s="1865" t="n"/>
      <c r="AG58" s="1854" t="n"/>
    </row>
    <row r="59" ht="14.1" customFormat="1" customHeight="1" s="14">
      <c r="A59" s="204" t="n"/>
      <c r="M59" s="205" t="n"/>
      <c r="N59" s="204" t="n"/>
      <c r="P59" s="1026">
        <f>'먼지측정 사전 Data'!H55</f>
        <v/>
      </c>
      <c r="R59" s="1055" t="inlineStr">
        <is>
          <t>X</t>
        </is>
      </c>
      <c r="S59" s="1026" t="n">
        <v>273</v>
      </c>
      <c r="T59" s="1827" t="n"/>
      <c r="U59" s="1827" t="n"/>
      <c r="V59" s="1827" t="n"/>
      <c r="W59" s="1055" t="inlineStr">
        <is>
          <t>X</t>
        </is>
      </c>
      <c r="X59" s="1026">
        <f>'먼지측정 사전 Data'!H11</f>
        <v/>
      </c>
      <c r="Y59" s="1827" t="n"/>
      <c r="Z59" s="17" t="inlineStr">
        <is>
          <t>+</t>
        </is>
      </c>
      <c r="AA59" s="1866">
        <f>'먼지측정 사전 Data'!O52</f>
        <v/>
      </c>
      <c r="AB59" s="1827" t="n"/>
      <c r="AC59" s="1026" t="inlineStr">
        <is>
          <t>+</t>
        </is>
      </c>
      <c r="AD59" s="1026" t="n">
        <v>22.4</v>
      </c>
      <c r="AE59" s="1827" t="n"/>
      <c r="AF59" s="1075">
        <f>Y56</f>
        <v/>
      </c>
      <c r="AG59" s="1854" t="n"/>
      <c r="AK59" s="1867">
        <f>AA59</f>
        <v/>
      </c>
    </row>
    <row r="60" ht="14.1" customFormat="1" customHeight="1" s="14">
      <c r="A60" s="206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207" t="n"/>
      <c r="N60" s="206" t="n"/>
      <c r="O60" s="17" t="n"/>
      <c r="P60" s="1827" t="n"/>
      <c r="Q60" s="1827" t="n"/>
      <c r="R60" s="1827" t="n"/>
      <c r="S60" s="17" t="inlineStr">
        <is>
          <t>273+</t>
        </is>
      </c>
      <c r="T60" s="17" t="n"/>
      <c r="U60" s="1026">
        <f>'먼지측정 사전 Data'!H51</f>
        <v/>
      </c>
      <c r="V60" s="1827" t="n"/>
      <c r="W60" s="1827" t="n"/>
      <c r="X60" s="1056" t="n">
        <v>760</v>
      </c>
      <c r="Y60" s="1829" t="n"/>
      <c r="Z60" s="1829" t="n"/>
      <c r="AA60" s="1829" t="n"/>
      <c r="AB60" s="1829" t="n"/>
      <c r="AC60" s="1827" t="n"/>
      <c r="AD60" s="1026" t="n">
        <v>18</v>
      </c>
      <c r="AE60" s="1827" t="n"/>
      <c r="AF60" s="1827" t="n"/>
      <c r="AG60" s="1843" t="n"/>
    </row>
    <row r="61" ht="6" customFormat="1" customHeight="1" s="14">
      <c r="A61" s="208" t="n"/>
      <c r="B61" s="209" t="n"/>
      <c r="C61" s="209" t="n"/>
      <c r="D61" s="209" t="n"/>
      <c r="E61" s="209" t="n"/>
      <c r="F61" s="209" t="n"/>
      <c r="G61" s="209" t="n"/>
      <c r="H61" s="209" t="n"/>
      <c r="I61" s="209" t="n"/>
      <c r="J61" s="209" t="n"/>
      <c r="K61" s="209" t="n"/>
      <c r="L61" s="209" t="n"/>
      <c r="M61" s="210" t="n"/>
      <c r="N61" s="208" t="n"/>
      <c r="O61" s="209" t="n"/>
      <c r="P61" s="209" t="n"/>
      <c r="Q61" s="209" t="n"/>
      <c r="R61" s="209" t="n"/>
      <c r="S61" s="209" t="n"/>
      <c r="T61" s="209" t="n"/>
      <c r="U61" s="209" t="n"/>
      <c r="V61" s="209" t="n"/>
      <c r="W61" s="209" t="n"/>
      <c r="X61" s="209" t="n"/>
      <c r="Y61" s="209" t="n"/>
      <c r="Z61" s="209" t="n"/>
      <c r="AA61" s="209" t="n"/>
      <c r="AB61" s="209" t="n"/>
      <c r="AC61" s="209" t="n"/>
      <c r="AD61" s="209" t="n"/>
      <c r="AE61" s="209" t="n"/>
      <c r="AF61" s="209" t="n"/>
      <c r="AG61" s="210" t="n"/>
    </row>
    <row r="62" ht="14.1" customFormat="1" customHeight="1" s="14">
      <c r="A62" s="204" t="inlineStr">
        <is>
          <t>배출가스밀도  (kg/m3)</t>
        </is>
      </c>
      <c r="M62" s="205" t="n"/>
      <c r="N62" s="1106" t="inlineStr">
        <is>
          <t>배출가스 밀도</t>
        </is>
      </c>
      <c r="S62" s="14" t="inlineStr">
        <is>
          <t>=</t>
        </is>
      </c>
      <c r="T62" s="1864">
        <f>'먼지측정 사전 Data'!R78</f>
        <v/>
      </c>
      <c r="X62" s="1114" t="inlineStr">
        <is>
          <t>kg/m3</t>
        </is>
      </c>
      <c r="AG62" s="205" t="n"/>
      <c r="AK62" s="1868">
        <f>T62</f>
        <v/>
      </c>
    </row>
    <row r="63" ht="14.1" customFormat="1" customHeight="1" s="14">
      <c r="A63" s="204" t="n"/>
      <c r="M63" s="205" t="n"/>
      <c r="N63" s="204" t="n"/>
      <c r="AG63" s="205" t="n"/>
    </row>
    <row r="64" ht="14.1" customFormat="1" customHeight="1" s="14">
      <c r="A64" s="204" t="n"/>
      <c r="M64" s="205" t="n"/>
      <c r="N64" s="1106" t="inlineStr">
        <is>
          <t>r=</t>
        </is>
      </c>
      <c r="P64" s="1061" t="inlineStr">
        <is>
          <t>1.3X</t>
        </is>
      </c>
      <c r="R64" s="1026" t="n">
        <v>273</v>
      </c>
      <c r="S64" s="1827" t="n"/>
      <c r="T64" s="1827" t="n"/>
      <c r="U64" s="1827" t="n"/>
      <c r="V64" s="1054" t="inlineStr">
        <is>
          <t>X</t>
        </is>
      </c>
      <c r="W64" s="1026">
        <f>'먼지측정 사전 Data'!H11</f>
        <v/>
      </c>
      <c r="X64" s="1827" t="n"/>
      <c r="Y64" s="17" t="inlineStr">
        <is>
          <t>+</t>
        </is>
      </c>
      <c r="Z64" s="1026">
        <f>('먼지측정 사전 Data'!R68)/13.6</f>
        <v/>
      </c>
      <c r="AA64" s="1827" t="n"/>
      <c r="AG64" s="205" t="n"/>
      <c r="AK64" s="1867">
        <f>Z64</f>
        <v/>
      </c>
      <c r="AL64" s="484" t="n"/>
    </row>
    <row r="65" ht="14.1" customFormat="1" customHeight="1" s="14">
      <c r="A65" s="204" t="n"/>
      <c r="M65" s="205" t="n"/>
      <c r="N65" s="1865" t="n"/>
      <c r="R65" s="14" t="inlineStr">
        <is>
          <t>273+</t>
        </is>
      </c>
      <c r="T65" s="1061">
        <f>'먼지측정 사전 Data'!R66</f>
        <v/>
      </c>
      <c r="W65" s="1076" t="n">
        <v>760</v>
      </c>
      <c r="X65" s="1837" t="n"/>
      <c r="Y65" s="1837" t="n"/>
      <c r="Z65" s="1837" t="n"/>
      <c r="AA65" s="1837" t="n"/>
      <c r="AG65" s="205" t="n"/>
    </row>
    <row r="66" ht="14.1" customFormat="1" customHeight="1" s="14">
      <c r="A66" s="206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207" t="n"/>
      <c r="N66" s="206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207" t="n"/>
    </row>
    <row r="67" ht="6" customFormat="1" customHeight="1" s="14">
      <c r="A67" s="208" t="n"/>
      <c r="B67" s="209" t="n"/>
      <c r="C67" s="209" t="n"/>
      <c r="D67" s="209" t="n"/>
      <c r="E67" s="209" t="n"/>
      <c r="F67" s="209" t="n"/>
      <c r="G67" s="209" t="n"/>
      <c r="H67" s="209" t="n"/>
      <c r="I67" s="209" t="n"/>
      <c r="J67" s="209" t="n"/>
      <c r="K67" s="209" t="n"/>
      <c r="L67" s="209" t="n"/>
      <c r="M67" s="210" t="n"/>
      <c r="N67" s="208" t="n"/>
      <c r="O67" s="209" t="n"/>
      <c r="P67" s="209" t="n"/>
      <c r="Q67" s="209" t="n"/>
      <c r="R67" s="209" t="n"/>
      <c r="S67" s="209" t="n"/>
      <c r="T67" s="209" t="n"/>
      <c r="U67" s="209" t="n"/>
      <c r="V67" s="209" t="n"/>
      <c r="W67" s="209" t="n"/>
      <c r="X67" s="209" t="n"/>
      <c r="Y67" s="209" t="n"/>
      <c r="Z67" s="209" t="n"/>
      <c r="AA67" s="209" t="n"/>
      <c r="AB67" s="209" t="n"/>
      <c r="AC67" s="209" t="n"/>
      <c r="AD67" s="209" t="n"/>
      <c r="AE67" s="209" t="n"/>
      <c r="AF67" s="209" t="n"/>
      <c r="AG67" s="210" t="n"/>
    </row>
    <row r="68" ht="14.1" customFormat="1" customHeight="1" s="14">
      <c r="A68" s="204" t="inlineStr">
        <is>
          <t>배출가스유속  (m/s)</t>
        </is>
      </c>
      <c r="M68" s="205" t="n"/>
      <c r="N68" s="204" t="inlineStr">
        <is>
          <t>배출가스유속</t>
        </is>
      </c>
      <c r="S68" s="14" t="inlineStr">
        <is>
          <t>=</t>
        </is>
      </c>
      <c r="T68" s="1864">
        <f>'먼지측정 사전 Data'!H62*SQRT((2*9.81*'먼지측정 사전 Data'!R67)/'먼지측정 사전 Data'!R78)</f>
        <v/>
      </c>
      <c r="X68" s="14" t="inlineStr">
        <is>
          <t>m/s</t>
        </is>
      </c>
      <c r="AG68" s="205" t="n"/>
      <c r="AK68" s="1868">
        <f>T68</f>
        <v/>
      </c>
    </row>
    <row r="69" ht="6" customFormat="1" customHeight="1" s="14" thickBot="1">
      <c r="A69" s="204" t="n"/>
      <c r="M69" s="205" t="n"/>
      <c r="N69" s="204" t="n"/>
      <c r="S69" s="211" t="n"/>
      <c r="T69" s="211" t="n"/>
      <c r="U69" s="211" t="n"/>
      <c r="V69" s="211" t="n"/>
      <c r="W69" s="211" t="n"/>
      <c r="X69" s="211" t="n"/>
      <c r="AG69" s="205" t="n"/>
    </row>
    <row r="70" ht="14.1" customFormat="1" customHeight="1" s="14">
      <c r="A70" s="204" t="n"/>
      <c r="M70" s="205" t="n"/>
      <c r="N70" s="1107" t="inlineStr">
        <is>
          <t>v=</t>
        </is>
      </c>
      <c r="P70" s="1061">
        <f>'먼지측정 사전 Data'!H62</f>
        <v/>
      </c>
      <c r="R70" s="1054" t="inlineStr">
        <is>
          <t>X</t>
        </is>
      </c>
      <c r="S70" s="212" t="inlineStr">
        <is>
          <t>2X9.81X</t>
        </is>
      </c>
      <c r="T70" s="213" t="n"/>
      <c r="U70" s="213" t="n"/>
      <c r="V70" s="1112">
        <f>'먼지측정 사전 Data'!R67</f>
        <v/>
      </c>
      <c r="W70" s="1869" t="n"/>
      <c r="X70" s="1869" t="n"/>
      <c r="AG70" s="205" t="n"/>
    </row>
    <row r="71" ht="14.1" customFormat="1" customHeight="1" s="14">
      <c r="A71" s="204" t="n"/>
      <c r="M71" s="205" t="n"/>
      <c r="N71" s="1865" t="n"/>
      <c r="S71" s="1870">
        <f>'먼지측정 사전 Data'!R78</f>
        <v/>
      </c>
      <c r="AG71" s="205" t="n"/>
    </row>
    <row r="72" ht="14.1" customFormat="1" customHeight="1" s="14">
      <c r="A72" s="204" t="n"/>
      <c r="M72" s="205" t="n"/>
      <c r="N72" s="204" t="n"/>
      <c r="AG72" s="205" t="n"/>
    </row>
    <row r="73" ht="14.1" customFormat="1" customHeight="1" s="14">
      <c r="A73" s="206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207" t="n"/>
      <c r="N73" s="206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207" t="n"/>
    </row>
    <row r="74" ht="14.1" customFormat="1" customHeight="1" s="14">
      <c r="A74" s="204" t="n"/>
      <c r="M74" s="205" t="n"/>
      <c r="N74" s="204" t="inlineStr">
        <is>
          <t>임핀저와 실리카겔에 채취된 물의 총량</t>
        </is>
      </c>
      <c r="AA74" s="14" t="inlineStr">
        <is>
          <t>=</t>
        </is>
      </c>
      <c r="AB74" s="1864">
        <f>'먼지측정 사전 Data'!R80</f>
        <v/>
      </c>
      <c r="AF74" s="14" t="inlineStr">
        <is>
          <t>mL</t>
        </is>
      </c>
      <c r="AG74" s="205" t="n"/>
    </row>
    <row r="75" ht="14.1" customFormat="1" customHeight="1" s="14">
      <c r="A75" s="204" t="n"/>
      <c r="M75" s="205" t="n"/>
      <c r="N75" s="204" t="n"/>
      <c r="AG75" s="205" t="n"/>
    </row>
    <row r="76" ht="14.1" customFormat="1" customHeight="1" s="14">
      <c r="A76" s="204" t="n"/>
      <c r="M76" s="205" t="n"/>
      <c r="N76" s="1110" t="inlineStr">
        <is>
          <t>Vic=</t>
        </is>
      </c>
      <c r="P76" s="1871">
        <f>S31*1000</f>
        <v/>
      </c>
      <c r="S76" s="1055" t="inlineStr">
        <is>
          <t>X</t>
        </is>
      </c>
      <c r="T76" s="1871">
        <f>R55</f>
        <v/>
      </c>
      <c r="U76" s="1827" t="n"/>
      <c r="V76" s="1827" t="n"/>
      <c r="W76" s="1827" t="n"/>
      <c r="X76" s="1827" t="n"/>
      <c r="Y76" s="1055" t="inlineStr">
        <is>
          <t>X</t>
        </is>
      </c>
      <c r="Z76" s="1026" t="n">
        <v>18</v>
      </c>
      <c r="AA76" s="1827" t="n"/>
      <c r="AG76" s="205" t="n"/>
    </row>
    <row r="77" ht="14.1" customHeight="1" s="730">
      <c r="A77" s="246" t="n"/>
      <c r="B77" s="1165" t="n"/>
      <c r="C77" s="1165" t="n"/>
      <c r="D77" s="1165" t="n"/>
      <c r="E77" s="1165" t="n"/>
      <c r="F77" s="1165" t="n"/>
      <c r="G77" s="1165" t="n"/>
      <c r="H77" s="1165" t="n"/>
      <c r="I77" s="1165" t="n"/>
      <c r="J77" s="1165" t="n"/>
      <c r="K77" s="1165" t="n"/>
      <c r="L77" s="1165" t="n"/>
      <c r="M77" s="247" t="n"/>
      <c r="N77" s="1844" t="n"/>
      <c r="O77" s="1827" t="n"/>
      <c r="P77" s="1827" t="n"/>
      <c r="Q77" s="1827" t="n"/>
      <c r="R77" s="1827" t="n"/>
      <c r="S77" s="1827" t="n"/>
      <c r="T77" s="1056" t="inlineStr">
        <is>
          <t>100-</t>
        </is>
      </c>
      <c r="U77" s="1829" t="n"/>
      <c r="V77" s="1872">
        <f>R55</f>
        <v/>
      </c>
      <c r="W77" s="1829" t="n"/>
      <c r="X77" s="1829" t="n"/>
      <c r="Y77" s="1827" t="n"/>
      <c r="Z77" s="1056" t="n">
        <v>22.4</v>
      </c>
      <c r="AA77" s="1829" t="n"/>
      <c r="AB77" s="1165" t="n"/>
      <c r="AC77" s="1165" t="n"/>
      <c r="AD77" s="1165" t="n"/>
      <c r="AE77" s="1165" t="n"/>
      <c r="AF77" s="1165" t="n"/>
      <c r="AG77" s="247" t="n"/>
    </row>
    <row r="78" ht="19.9" customHeight="1" s="730">
      <c r="A78" s="241" t="n"/>
      <c r="B78" s="1066" t="n"/>
      <c r="C78" s="1066" t="n"/>
      <c r="D78" s="1066" t="n"/>
      <c r="E78" s="1066" t="n"/>
      <c r="F78" s="1066" t="n"/>
      <c r="G78" s="1066" t="n"/>
      <c r="H78" s="1066" t="n"/>
      <c r="I78" s="1066" t="n"/>
      <c r="J78" s="1066" t="n"/>
      <c r="K78" s="1066" t="n"/>
      <c r="L78" s="1066" t="n"/>
      <c r="M78" s="1066" t="n"/>
      <c r="N78" s="1066" t="n"/>
      <c r="O78" s="1066" t="n"/>
      <c r="P78" s="1066" t="n"/>
      <c r="Q78" s="1066" t="n"/>
      <c r="R78" s="1066" t="n"/>
      <c r="S78" s="1066" t="n"/>
      <c r="T78" s="1066" t="n"/>
      <c r="U78" s="1066" t="n"/>
      <c r="V78" s="1066" t="n"/>
      <c r="W78" s="1066" t="n"/>
      <c r="X78" s="1066" t="n"/>
      <c r="Y78" s="1066" t="n"/>
      <c r="Z78" s="1066" t="n"/>
      <c r="AA78" s="1066" t="n"/>
      <c r="AB78" s="1066" t="n"/>
      <c r="AC78" s="1066" t="n"/>
      <c r="AD78" s="1066" t="n"/>
      <c r="AE78" s="1066" t="n"/>
      <c r="AF78" s="1066" t="n"/>
      <c r="AG78" s="243" t="n"/>
    </row>
    <row r="79" ht="19.9" customHeight="1" s="730">
      <c r="A79" s="1105" t="inlineStr">
        <is>
          <t>등속흡인계수 계산 (I factor) (%)</t>
        </is>
      </c>
      <c r="AG79" s="248" t="n"/>
    </row>
    <row r="80" ht="19.9" customHeight="1" s="730">
      <c r="A80" s="26" t="n"/>
      <c r="AG80" s="248" t="n"/>
    </row>
    <row r="81" ht="19.9" customHeight="1" s="730">
      <c r="A81" s="26" t="n"/>
      <c r="AG81" s="248" t="n"/>
    </row>
    <row r="82" ht="14.1" customHeight="1" s="730">
      <c r="A82" s="26" t="n"/>
      <c r="AG82" s="248" t="n"/>
    </row>
    <row r="83" ht="14.1" customHeight="1" s="730">
      <c r="A83" s="26" t="n"/>
      <c r="AG83" s="248" t="n"/>
    </row>
    <row r="84" ht="14.1" customHeight="1" s="730">
      <c r="A84" s="246" t="n"/>
      <c r="B84" s="1165" t="n"/>
      <c r="C84" s="1165" t="n"/>
      <c r="D84" s="1165" t="n"/>
      <c r="E84" s="1165" t="n"/>
      <c r="F84" s="1165" t="n"/>
      <c r="G84" s="1165" t="n"/>
      <c r="H84" s="1165" t="n"/>
      <c r="I84" s="1165" t="n"/>
      <c r="J84" s="1165" t="n"/>
      <c r="K84" s="1165" t="n"/>
      <c r="L84" s="1165" t="n"/>
      <c r="M84" s="1165" t="n"/>
      <c r="N84" s="1165" t="n"/>
      <c r="O84" s="1165" t="n"/>
      <c r="P84" s="1165" t="n"/>
      <c r="Q84" s="1165" t="n"/>
      <c r="R84" s="1165" t="n"/>
      <c r="S84" s="1165" t="n"/>
      <c r="T84" s="1165" t="n"/>
      <c r="U84" s="1165" t="n"/>
      <c r="V84" s="1165" t="n"/>
      <c r="W84" s="1165" t="n"/>
      <c r="X84" s="1165" t="n"/>
      <c r="Y84" s="1165" t="n"/>
      <c r="Z84" s="1165" t="n"/>
      <c r="AA84" s="1165" t="n"/>
      <c r="AB84" s="1165" t="n"/>
      <c r="AC84" s="1165" t="n"/>
      <c r="AD84" s="1165" t="n"/>
      <c r="AE84" s="1165" t="n"/>
      <c r="AF84" s="1165" t="n"/>
      <c r="AG84" s="247" t="n"/>
    </row>
    <row r="85" ht="24.6" customHeight="1" s="730">
      <c r="A85" s="1119" t="inlineStr">
        <is>
          <t xml:space="preserve">등속흡인계수 계산 (I factor) </t>
        </is>
      </c>
      <c r="B85" s="1837" t="n"/>
      <c r="C85" s="1837" t="n"/>
      <c r="D85" s="1837" t="n"/>
      <c r="E85" s="1837" t="n"/>
      <c r="F85" s="1837" t="n"/>
      <c r="G85" s="1837" t="n"/>
      <c r="H85" s="1837" t="n"/>
      <c r="I85" s="1837" t="n"/>
      <c r="J85" s="1837" t="n"/>
      <c r="K85" s="1837" t="n"/>
      <c r="L85" s="209" t="inlineStr">
        <is>
          <t>=</t>
        </is>
      </c>
      <c r="M85" s="1873">
        <f>(E87*(0.00346*K87+N87/Q87*(T87+W87/13.6)))/(I88*M88*Q88*U88)*1.667*10^4</f>
        <v/>
      </c>
      <c r="N85" s="1837" t="n"/>
      <c r="O85" s="1837" t="n"/>
      <c r="P85" s="1837" t="n"/>
      <c r="Q85" s="1837" t="n"/>
      <c r="R85" s="1066" t="inlineStr">
        <is>
          <t>%</t>
        </is>
      </c>
      <c r="S85" s="1066" t="n"/>
      <c r="T85" s="1066" t="n"/>
      <c r="U85" s="1066" t="n"/>
      <c r="V85" s="1066" t="n"/>
      <c r="W85" s="1066" t="n"/>
      <c r="X85" s="1066" t="n"/>
      <c r="Y85" s="1066" t="n"/>
      <c r="Z85" s="1066" t="n"/>
      <c r="AA85" s="1066" t="n"/>
      <c r="AB85" s="1066" t="n"/>
      <c r="AC85" s="1066" t="n"/>
      <c r="AD85" s="1066" t="n"/>
      <c r="AE85" s="1066" t="n"/>
      <c r="AF85" s="1066" t="n"/>
      <c r="AG85" s="243" t="n"/>
      <c r="AK85" s="1874">
        <f>M85</f>
        <v/>
      </c>
    </row>
    <row r="86" ht="24.6" customHeight="1" s="730">
      <c r="A86" s="26" t="n"/>
      <c r="AG86" s="248" t="n"/>
    </row>
    <row r="87" ht="24.6" customHeight="1" s="730">
      <c r="A87" s="26" t="n"/>
      <c r="B87" s="1071" t="inlineStr">
        <is>
          <t>I(%)=</t>
        </is>
      </c>
      <c r="E87" s="1032">
        <f>('먼지측정 사전 Data'!R66)+273</f>
        <v/>
      </c>
      <c r="F87" s="1827" t="n"/>
      <c r="G87" s="1165" t="inlineStr">
        <is>
          <t>[0.00346</t>
        </is>
      </c>
      <c r="H87" s="1165" t="n"/>
      <c r="I87" s="1165" t="n"/>
      <c r="J87" s="1165" t="n"/>
      <c r="K87" s="1875">
        <f>'먼지측정 사전 Data'!H80</f>
        <v/>
      </c>
      <c r="L87" s="1827" t="n"/>
      <c r="M87" s="1165" t="inlineStr">
        <is>
          <t>+</t>
        </is>
      </c>
      <c r="N87" s="1032">
        <f>'먼지측정 사전 Data'!H77</f>
        <v/>
      </c>
      <c r="O87" s="1827" t="n"/>
      <c r="P87" s="214" t="inlineStr">
        <is>
          <t>/</t>
        </is>
      </c>
      <c r="Q87" s="1032">
        <f>('먼지측정 사전 Data'!R71)+273</f>
        <v/>
      </c>
      <c r="R87" s="1827" t="n"/>
      <c r="S87" s="1165" t="inlineStr">
        <is>
          <t>(</t>
        </is>
      </c>
      <c r="T87" s="1032">
        <f>'먼지측정 사전 Data'!H11</f>
        <v/>
      </c>
      <c r="U87" s="1827" t="n"/>
      <c r="V87" s="1165" t="inlineStr">
        <is>
          <t>+</t>
        </is>
      </c>
      <c r="W87" s="1876">
        <f>'먼지측정 사전 Data'!H83</f>
        <v/>
      </c>
      <c r="X87" s="1827" t="n"/>
      <c r="Y87" s="214" t="inlineStr">
        <is>
          <t>/</t>
        </is>
      </c>
      <c r="Z87" s="1165" t="inlineStr">
        <is>
          <t>13.6)]</t>
        </is>
      </c>
      <c r="AA87" s="1165" t="n"/>
      <c r="AB87" s="1055" t="inlineStr">
        <is>
          <t>X</t>
        </is>
      </c>
      <c r="AC87" s="1033" t="inlineStr">
        <is>
          <t>(1.667X104)</t>
        </is>
      </c>
      <c r="AG87" s="1854" t="n"/>
      <c r="AK87" s="1877">
        <f>W87</f>
        <v/>
      </c>
    </row>
    <row r="88" ht="24.6" customHeight="1" s="730">
      <c r="A88" s="246" t="n"/>
      <c r="B88" s="1827" t="n"/>
      <c r="C88" s="1827" t="n"/>
      <c r="D88" s="1827" t="n"/>
      <c r="E88" s="1165" t="n"/>
      <c r="F88" s="1165" t="n"/>
      <c r="G88" s="1165" t="n"/>
      <c r="H88" s="1165" t="n"/>
      <c r="I88" s="1878">
        <f>760+(('먼지측정 사전 Data'!H68)/13.6)</f>
        <v/>
      </c>
      <c r="J88" s="1829" t="n"/>
      <c r="K88" s="1829" t="n"/>
      <c r="L88" s="1102" t="inlineStr">
        <is>
          <t>·</t>
        </is>
      </c>
      <c r="M88" s="1088">
        <f>'먼지측정 사전 Data'!H72</f>
        <v/>
      </c>
      <c r="N88" s="1829" t="n"/>
      <c r="O88" s="1829" t="n"/>
      <c r="P88" s="1102" t="inlineStr">
        <is>
          <t>·</t>
        </is>
      </c>
      <c r="Q88" s="1879">
        <f>'먼지측정 사전 Data'!H79</f>
        <v/>
      </c>
      <c r="R88" s="1829" t="n"/>
      <c r="S88" s="1829" t="n"/>
      <c r="T88" s="1102" t="inlineStr">
        <is>
          <t>·</t>
        </is>
      </c>
      <c r="U88" s="1089">
        <f>PI()*('먼지측정 사전 Data'!H81)^2/4</f>
        <v/>
      </c>
      <c r="V88" s="1829" t="n"/>
      <c r="W88" s="1829" t="n"/>
      <c r="X88" s="1165" t="n"/>
      <c r="Y88" s="1165" t="n"/>
      <c r="Z88" s="1165" t="n"/>
      <c r="AA88" s="1165" t="n"/>
      <c r="AB88" s="1827" t="n"/>
      <c r="AC88" s="1827" t="n"/>
      <c r="AD88" s="1827" t="n"/>
      <c r="AE88" s="1827" t="n"/>
      <c r="AF88" s="1827" t="n"/>
      <c r="AG88" s="1843" t="n"/>
    </row>
    <row r="89" ht="28.15" customHeight="1" s="730">
      <c r="A89" s="1065" t="inlineStr">
        <is>
          <t>ma :</t>
        </is>
      </c>
      <c r="B89" s="1837" t="n"/>
      <c r="C89" s="1067" t="inlineStr">
        <is>
          <t>흡습수분의 질량(ma2 - ma1) (g)</t>
        </is>
      </c>
      <c r="D89" s="1837" t="n"/>
      <c r="E89" s="1837" t="n"/>
      <c r="F89" s="1837" t="n"/>
      <c r="G89" s="1837" t="n"/>
      <c r="H89" s="1837" t="n"/>
      <c r="I89" s="1837" t="n"/>
      <c r="J89" s="1837" t="n"/>
      <c r="K89" s="1837" t="n"/>
      <c r="L89" s="1837" t="n"/>
      <c r="M89" s="216" t="n"/>
      <c r="N89" s="216" t="n"/>
      <c r="O89" s="216" t="n"/>
      <c r="P89" s="13" t="n"/>
      <c r="Q89" s="1084" t="inlineStr">
        <is>
          <t>Vm :</t>
        </is>
      </c>
      <c r="R89" s="1837" t="n"/>
      <c r="S89" s="1068" t="inlineStr">
        <is>
          <t>흡인한 건조 가스량(건식가스미터에서 읽은 값)(L)</t>
        </is>
      </c>
      <c r="T89" s="1837" t="n"/>
      <c r="U89" s="1837" t="n"/>
      <c r="V89" s="1837" t="n"/>
      <c r="W89" s="1837" t="n"/>
      <c r="X89" s="1837" t="n"/>
      <c r="Y89" s="1837" t="n"/>
      <c r="Z89" s="1837" t="n"/>
      <c r="AA89" s="1837" t="n"/>
      <c r="AB89" s="1837" t="n"/>
      <c r="AC89" s="1837" t="n"/>
      <c r="AD89" s="1837" t="n"/>
      <c r="AE89" s="1837" t="n"/>
      <c r="AF89" s="1837" t="n"/>
      <c r="AG89" s="1838" t="n"/>
    </row>
    <row r="90" ht="28.15" customHeight="1" s="730">
      <c r="A90" s="1063" t="inlineStr">
        <is>
          <t>Θm :</t>
        </is>
      </c>
      <c r="C90" s="1079" t="inlineStr">
        <is>
          <t>가스미터에서의 흡인 가스온도(℃)</t>
        </is>
      </c>
      <c r="M90" s="13" t="n"/>
      <c r="N90" s="13" t="n"/>
      <c r="O90" s="13" t="n"/>
      <c r="P90" s="13" t="n"/>
      <c r="Q90" s="1085" t="inlineStr">
        <is>
          <t>Pa :</t>
        </is>
      </c>
      <c r="S90" s="1079" t="inlineStr">
        <is>
          <t>측정공 위치의 대기압(mmHg)</t>
        </is>
      </c>
      <c r="AB90" s="13" t="n"/>
      <c r="AC90" s="13" t="n"/>
      <c r="AD90" s="13" t="n"/>
      <c r="AE90" s="13" t="n"/>
      <c r="AF90" s="13" t="n"/>
      <c r="AG90" s="217" t="n"/>
    </row>
    <row r="91" ht="28.15" customHeight="1" s="730">
      <c r="A91" s="1092" t="inlineStr">
        <is>
          <t>Pm :</t>
        </is>
      </c>
      <c r="B91" s="1880" t="n"/>
      <c r="C91" s="1070" t="inlineStr">
        <is>
          <t>가스미터에서의 가스게이지압(mmHg)</t>
        </is>
      </c>
      <c r="D91" s="1880" t="n"/>
      <c r="E91" s="1880" t="n"/>
      <c r="F91" s="1880" t="n"/>
      <c r="G91" s="1880" t="n"/>
      <c r="H91" s="1880" t="n"/>
      <c r="I91" s="1880" t="n"/>
      <c r="J91" s="1880" t="n"/>
      <c r="K91" s="1880" t="n"/>
      <c r="L91" s="1880" t="n"/>
      <c r="M91" s="1880" t="n"/>
      <c r="N91" s="218" t="n"/>
      <c r="O91" s="218" t="n"/>
      <c r="P91" s="218" t="n"/>
      <c r="Q91" s="219" t="n"/>
      <c r="R91" s="218" t="n"/>
      <c r="S91" s="218" t="n"/>
      <c r="T91" s="218" t="n"/>
      <c r="U91" s="218" t="n"/>
      <c r="V91" s="218" t="n"/>
      <c r="W91" s="218" t="n"/>
      <c r="X91" s="218" t="n"/>
      <c r="Y91" s="218" t="n"/>
      <c r="Z91" s="218" t="n"/>
      <c r="AA91" s="218" t="n"/>
      <c r="AB91" s="218" t="n"/>
      <c r="AC91" s="218" t="n"/>
      <c r="AD91" s="218" t="n"/>
      <c r="AE91" s="218" t="n"/>
      <c r="AF91" s="218" t="n"/>
      <c r="AG91" s="220" t="n"/>
    </row>
    <row r="92" ht="28.15" customHeight="1" s="730">
      <c r="A92" s="1094" t="inlineStr">
        <is>
          <t>ro :</t>
        </is>
      </c>
      <c r="B92" s="1881" t="n"/>
      <c r="C92" s="1069" t="inlineStr">
        <is>
          <t>표준상태로 환산한 습한 배출가스 밀도(kg/Sm3)</t>
        </is>
      </c>
      <c r="D92" s="1881" t="n"/>
      <c r="E92" s="1881" t="n"/>
      <c r="F92" s="1881" t="n"/>
      <c r="G92" s="1881" t="n"/>
      <c r="H92" s="1881" t="n"/>
      <c r="I92" s="1881" t="n"/>
      <c r="J92" s="1881" t="n"/>
      <c r="K92" s="1881" t="n"/>
      <c r="L92" s="1881" t="n"/>
      <c r="M92" s="1881" t="n"/>
      <c r="N92" s="1881" t="n"/>
      <c r="O92" s="1881" t="n"/>
      <c r="P92" s="1881" t="n"/>
      <c r="Q92" s="1077" t="inlineStr">
        <is>
          <t>Pa :</t>
        </is>
      </c>
      <c r="R92" s="1881" t="n"/>
      <c r="S92" s="1069" t="inlineStr">
        <is>
          <t>대기압(mmHg)</t>
        </is>
      </c>
      <c r="T92" s="1881" t="n"/>
      <c r="U92" s="1881" t="n"/>
      <c r="V92" s="1881" t="n"/>
      <c r="W92" s="1881" t="n"/>
      <c r="X92" s="13" t="n"/>
      <c r="Y92" s="13" t="n"/>
      <c r="Z92" s="13" t="n"/>
      <c r="AA92" s="13" t="n"/>
      <c r="AB92" s="13" t="n"/>
      <c r="AC92" s="13" t="n"/>
      <c r="AD92" s="13" t="n"/>
      <c r="AE92" s="13" t="n"/>
      <c r="AF92" s="13" t="n"/>
      <c r="AG92" s="217" t="n"/>
    </row>
    <row r="93" ht="28.15" customHeight="1" s="730">
      <c r="A93" s="1092" t="inlineStr">
        <is>
          <t>Ps :</t>
        </is>
      </c>
      <c r="B93" s="1880" t="n"/>
      <c r="C93" s="1070" t="inlineStr">
        <is>
          <t>각 측정점에서 배출가스 정압의 평균치(mmHg)</t>
        </is>
      </c>
      <c r="D93" s="1880" t="n"/>
      <c r="E93" s="1880" t="n"/>
      <c r="F93" s="1880" t="n"/>
      <c r="G93" s="1880" t="n"/>
      <c r="H93" s="1880" t="n"/>
      <c r="I93" s="1880" t="n"/>
      <c r="J93" s="1880" t="n"/>
      <c r="K93" s="1880" t="n"/>
      <c r="L93" s="1880" t="n"/>
      <c r="M93" s="1880" t="n"/>
      <c r="N93" s="1880" t="n"/>
      <c r="O93" s="1880" t="n"/>
      <c r="P93" s="1880" t="n"/>
      <c r="Q93" s="1082" t="inlineStr">
        <is>
          <t>Θs :</t>
        </is>
      </c>
      <c r="R93" s="1880" t="n"/>
      <c r="S93" s="1070" t="inlineStr">
        <is>
          <t>각 측정점에서 배출가스 온도의 평균치(℃)</t>
        </is>
      </c>
      <c r="T93" s="1880" t="n"/>
      <c r="U93" s="1880" t="n"/>
      <c r="V93" s="1880" t="n"/>
      <c r="W93" s="1880" t="n"/>
      <c r="X93" s="1880" t="n"/>
      <c r="Y93" s="1880" t="n"/>
      <c r="Z93" s="1880" t="n"/>
      <c r="AA93" s="1880" t="n"/>
      <c r="AB93" s="1880" t="n"/>
      <c r="AC93" s="1880" t="n"/>
      <c r="AD93" s="1880" t="n"/>
      <c r="AE93" s="1880" t="n"/>
      <c r="AF93" s="218" t="n"/>
      <c r="AG93" s="220" t="n"/>
    </row>
    <row r="94" ht="28.15" customHeight="1" s="730">
      <c r="A94" s="1094" t="inlineStr">
        <is>
          <t>C :</t>
        </is>
      </c>
      <c r="B94" s="1881" t="n"/>
      <c r="C94" s="1069" t="inlineStr">
        <is>
          <t>피토우관계수</t>
        </is>
      </c>
      <c r="D94" s="1881" t="n"/>
      <c r="E94" s="1881" t="n"/>
      <c r="F94" s="1881" t="n"/>
      <c r="G94" s="221" t="n"/>
      <c r="H94" s="221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077" t="inlineStr">
        <is>
          <t>g :</t>
        </is>
      </c>
      <c r="R94" s="1881" t="n"/>
      <c r="S94" s="1069" t="inlineStr">
        <is>
          <t>중력 가속도(9.81m/s2)</t>
        </is>
      </c>
      <c r="T94" s="1881" t="n"/>
      <c r="U94" s="1881" t="n"/>
      <c r="V94" s="1881" t="n"/>
      <c r="W94" s="1881" t="n"/>
      <c r="X94" s="1881" t="n"/>
      <c r="Y94" s="1881" t="n"/>
      <c r="Z94" s="13" t="n"/>
      <c r="AA94" s="13" t="n"/>
      <c r="AB94" s="13" t="n"/>
      <c r="AC94" s="13" t="n"/>
      <c r="AD94" s="13" t="n"/>
      <c r="AE94" s="13" t="n"/>
      <c r="AF94" s="13" t="n"/>
      <c r="AG94" s="217" t="n"/>
    </row>
    <row r="95" ht="28.15" customHeight="1" s="730">
      <c r="A95" s="1092" t="inlineStr">
        <is>
          <t>h :</t>
        </is>
      </c>
      <c r="B95" s="1880" t="n"/>
      <c r="C95" s="1070" t="inlineStr">
        <is>
          <t>피토우관에 의한 동압 평균치(kg/Sm3)</t>
        </is>
      </c>
      <c r="D95" s="1880" t="n"/>
      <c r="E95" s="1880" t="n"/>
      <c r="F95" s="1880" t="n"/>
      <c r="G95" s="1880" t="n"/>
      <c r="H95" s="1880" t="n"/>
      <c r="I95" s="1880" t="n"/>
      <c r="J95" s="1880" t="n"/>
      <c r="K95" s="1880" t="n"/>
      <c r="L95" s="1880" t="n"/>
      <c r="M95" s="1880" t="n"/>
      <c r="N95" s="218" t="n"/>
      <c r="O95" s="218" t="n"/>
      <c r="P95" s="218" t="n"/>
      <c r="Q95" s="1082" t="inlineStr">
        <is>
          <t>r :</t>
        </is>
      </c>
      <c r="R95" s="1880" t="n"/>
      <c r="S95" s="1070" t="inlineStr">
        <is>
          <t>굴뚝내의 습한 배출가스 밀도(kg/m3)</t>
        </is>
      </c>
      <c r="T95" s="1880" t="n"/>
      <c r="U95" s="1880" t="n"/>
      <c r="V95" s="1880" t="n"/>
      <c r="W95" s="1880" t="n"/>
      <c r="X95" s="1880" t="n"/>
      <c r="Y95" s="1880" t="n"/>
      <c r="Z95" s="1880" t="n"/>
      <c r="AA95" s="1880" t="n"/>
      <c r="AB95" s="1880" t="n"/>
      <c r="AC95" s="1880" t="n"/>
      <c r="AD95" s="218" t="n"/>
      <c r="AE95" s="218" t="n"/>
      <c r="AF95" s="218" t="n"/>
      <c r="AG95" s="220" t="n"/>
    </row>
    <row r="96" ht="28.15" customHeight="1" s="730">
      <c r="A96" s="1162" t="inlineStr">
        <is>
          <t>Vs :</t>
        </is>
      </c>
      <c r="B96" s="1882" t="n"/>
      <c r="C96" s="1073" t="inlineStr">
        <is>
          <t>건식가스미터에서 읽은 가스시료 채취량(L)</t>
        </is>
      </c>
      <c r="D96" s="1882" t="n"/>
      <c r="E96" s="1882" t="n"/>
      <c r="F96" s="1882" t="n"/>
      <c r="G96" s="1882" t="n"/>
      <c r="H96" s="1882" t="n"/>
      <c r="I96" s="1882" t="n"/>
      <c r="J96" s="1882" t="n"/>
      <c r="K96" s="1882" t="n"/>
      <c r="L96" s="1882" t="n"/>
      <c r="M96" s="1882" t="n"/>
      <c r="N96" s="1882" t="n"/>
      <c r="O96" s="1882" t="n"/>
      <c r="P96" s="222" t="n"/>
      <c r="Q96" s="1080" t="inlineStr">
        <is>
          <t>Xw :</t>
        </is>
      </c>
      <c r="R96" s="1882" t="n"/>
      <c r="S96" s="1073" t="inlineStr">
        <is>
          <t>습배기가스 중의 수증기 부피 백분율(%)</t>
        </is>
      </c>
      <c r="T96" s="1882" t="n"/>
      <c r="U96" s="1882" t="n"/>
      <c r="V96" s="1882" t="n"/>
      <c r="W96" s="1882" t="n"/>
      <c r="X96" s="1882" t="n"/>
      <c r="Y96" s="1882" t="n"/>
      <c r="Z96" s="1882" t="n"/>
      <c r="AA96" s="1882" t="n"/>
      <c r="AB96" s="1882" t="n"/>
      <c r="AC96" s="1882" t="n"/>
      <c r="AD96" s="1882" t="n"/>
      <c r="AE96" s="222" t="n"/>
      <c r="AF96" s="222" t="n"/>
      <c r="AG96" s="223" t="n"/>
    </row>
    <row r="97" ht="28.15" customHeight="1" s="730">
      <c r="A97" s="1094" t="inlineStr">
        <is>
          <t>Ts :</t>
        </is>
      </c>
      <c r="B97" s="1881" t="n"/>
      <c r="C97" s="1069" t="inlineStr">
        <is>
          <t>배출가스 평균 절대온도(K : 273 + Θs(℃))</t>
        </is>
      </c>
      <c r="D97" s="1881" t="n"/>
      <c r="E97" s="1881" t="n"/>
      <c r="F97" s="1881" t="n"/>
      <c r="G97" s="1881" t="n"/>
      <c r="H97" s="1881" t="n"/>
      <c r="I97" s="1881" t="n"/>
      <c r="J97" s="1881" t="n"/>
      <c r="K97" s="1881" t="n"/>
      <c r="L97" s="1881" t="n"/>
      <c r="M97" s="1881" t="n"/>
      <c r="N97" s="1881" t="n"/>
      <c r="O97" s="221" t="n"/>
      <c r="P97" s="221" t="n"/>
      <c r="Q97" s="1077" t="inlineStr">
        <is>
          <t>Vic :</t>
        </is>
      </c>
      <c r="R97" s="1881" t="n"/>
      <c r="S97" s="1069" t="inlineStr">
        <is>
          <t>임핀저와 실리카겔에 채취된 물의 총량(mL)</t>
        </is>
      </c>
      <c r="T97" s="1881" t="n"/>
      <c r="U97" s="1881" t="n"/>
      <c r="V97" s="1881" t="n"/>
      <c r="W97" s="1881" t="n"/>
      <c r="X97" s="1881" t="n"/>
      <c r="Y97" s="1881" t="n"/>
      <c r="Z97" s="1881" t="n"/>
      <c r="AA97" s="1881" t="n"/>
      <c r="AB97" s="1881" t="n"/>
      <c r="AC97" s="1881" t="n"/>
      <c r="AD97" s="1881" t="n"/>
      <c r="AE97" s="1881" t="n"/>
      <c r="AF97" s="13" t="n"/>
      <c r="AG97" s="217" t="n"/>
    </row>
    <row r="98" ht="28.15" customHeight="1" s="730">
      <c r="A98" s="1063" t="inlineStr">
        <is>
          <t>V'm :</t>
        </is>
      </c>
      <c r="C98" s="1079" t="inlineStr">
        <is>
          <t>건식가스미터에서 읽은 가스시료 채취량(m3)</t>
        </is>
      </c>
      <c r="P98" s="13" t="n"/>
      <c r="Q98" s="1085" t="inlineStr">
        <is>
          <t>Tm :</t>
        </is>
      </c>
      <c r="S98" s="1079" t="inlineStr">
        <is>
          <t>건식가스미터의 평균 절대온도(K : 273 + Θm(℃))</t>
        </is>
      </c>
      <c r="AG98" s="217" t="n"/>
    </row>
    <row r="99" ht="28.15" customHeight="1" s="730">
      <c r="A99" s="1063" t="inlineStr">
        <is>
          <t>Pa :</t>
        </is>
      </c>
      <c r="C99" s="1079" t="inlineStr">
        <is>
          <t>측정공 위치의 대기압(mmHg)</t>
        </is>
      </c>
      <c r="L99" s="13" t="n"/>
      <c r="M99" s="13" t="n"/>
      <c r="N99" s="13" t="n"/>
      <c r="O99" s="13" t="n"/>
      <c r="P99" s="13" t="n"/>
      <c r="Q99" s="1085" t="inlineStr">
        <is>
          <t>ΔH :</t>
        </is>
      </c>
      <c r="S99" s="1079" t="inlineStr">
        <is>
          <t>오리피스 압차(mmH2O)</t>
        </is>
      </c>
      <c r="Z99" s="13" t="n"/>
      <c r="AA99" s="13" t="n"/>
      <c r="AB99" s="13" t="n"/>
      <c r="AC99" s="13" t="n"/>
      <c r="AD99" s="13" t="n"/>
      <c r="AE99" s="13" t="n"/>
      <c r="AF99" s="13" t="n"/>
      <c r="AG99" s="217" t="n"/>
    </row>
    <row r="100" ht="28.15" customHeight="1" s="730">
      <c r="A100" s="1063" t="inlineStr">
        <is>
          <t>P's :</t>
        </is>
      </c>
      <c r="C100" s="1079" t="inlineStr">
        <is>
          <t>배출가스 압력(mmHg : 760 + Ps)</t>
        </is>
      </c>
      <c r="M100" s="13" t="n"/>
      <c r="N100" s="13" t="n"/>
      <c r="O100" s="13" t="n"/>
      <c r="P100" s="13" t="n"/>
      <c r="Q100" s="1085" t="inlineStr">
        <is>
          <t>t :</t>
        </is>
      </c>
      <c r="S100" s="1079" t="inlineStr">
        <is>
          <t>총시료 채취시간(min)</t>
        </is>
      </c>
      <c r="Z100" s="13" t="n"/>
      <c r="AA100" s="13" t="n"/>
      <c r="AB100" s="13" t="n"/>
      <c r="AC100" s="13" t="n"/>
      <c r="AD100" s="13" t="n"/>
      <c r="AE100" s="13" t="n"/>
      <c r="AF100" s="13" t="n"/>
      <c r="AG100" s="217" t="n"/>
    </row>
    <row r="101" ht="28.15" customHeight="1" s="730">
      <c r="A101" s="1164" t="inlineStr">
        <is>
          <t>v :</t>
        </is>
      </c>
      <c r="B101" s="1827" t="n"/>
      <c r="C101" s="1096" t="inlineStr">
        <is>
          <t>배출가스 평균유속(m/s)</t>
        </is>
      </c>
      <c r="D101" s="1827" t="n"/>
      <c r="E101" s="1827" t="n"/>
      <c r="F101" s="1827" t="n"/>
      <c r="G101" s="1827" t="n"/>
      <c r="H101" s="1827" t="n"/>
      <c r="I101" s="1827" t="n"/>
      <c r="J101" s="224" t="n"/>
      <c r="K101" s="224" t="n"/>
      <c r="L101" s="224" t="n"/>
      <c r="M101" s="224" t="n"/>
      <c r="N101" s="224" t="n"/>
      <c r="O101" s="224" t="n"/>
      <c r="P101" s="224" t="n"/>
      <c r="Q101" s="1097" t="inlineStr">
        <is>
          <t>An :</t>
        </is>
      </c>
      <c r="R101" s="1827" t="n"/>
      <c r="S101" s="1096" t="inlineStr">
        <is>
          <t>노즐의 단면적(cm2)</t>
        </is>
      </c>
      <c r="T101" s="1827" t="n"/>
      <c r="U101" s="1827" t="n"/>
      <c r="V101" s="1827" t="n"/>
      <c r="W101" s="1827" t="n"/>
      <c r="X101" s="1827" t="n"/>
      <c r="Y101" s="224" t="n"/>
      <c r="Z101" s="224" t="n"/>
      <c r="AA101" s="224" t="n"/>
      <c r="AB101" s="224" t="n"/>
      <c r="AC101" s="224" t="n"/>
      <c r="AD101" s="224" t="n"/>
      <c r="AE101" s="224" t="n"/>
      <c r="AF101" s="224" t="n"/>
      <c r="AG101" s="225" t="n"/>
    </row>
    <row r="102" ht="30" customHeight="1" s="730">
      <c r="A102" s="1862" t="inlineStr">
        <is>
          <t>계    산    식</t>
        </is>
      </c>
      <c r="B102" s="1829" t="n"/>
      <c r="C102" s="1829" t="n"/>
      <c r="D102" s="1829" t="n"/>
      <c r="E102" s="1829" t="n"/>
      <c r="F102" s="1829" t="n"/>
      <c r="G102" s="1829" t="n"/>
      <c r="H102" s="1829" t="n"/>
      <c r="I102" s="1829" t="n"/>
      <c r="J102" s="1829" t="n"/>
      <c r="K102" s="1829" t="n"/>
      <c r="L102" s="1829" t="n"/>
      <c r="M102" s="1830" t="n"/>
      <c r="N102" s="1862" t="inlineStr">
        <is>
          <t>계        산</t>
        </is>
      </c>
      <c r="O102" s="1829" t="n"/>
      <c r="P102" s="1829" t="n"/>
      <c r="Q102" s="1829" t="n"/>
      <c r="R102" s="1829" t="n"/>
      <c r="S102" s="1829" t="n"/>
      <c r="T102" s="1829" t="n"/>
      <c r="U102" s="1829" t="n"/>
      <c r="V102" s="1829" t="n"/>
      <c r="W102" s="1829" t="n"/>
      <c r="X102" s="1829" t="n"/>
      <c r="Y102" s="1829" t="n"/>
      <c r="Z102" s="1829" t="n"/>
      <c r="AA102" s="1829" t="n"/>
      <c r="AB102" s="1829" t="n"/>
      <c r="AC102" s="1829" t="n"/>
      <c r="AD102" s="1829" t="n"/>
      <c r="AE102" s="1829" t="n"/>
      <c r="AF102" s="1829" t="n"/>
      <c r="AG102" s="1830" t="n"/>
    </row>
    <row r="103" ht="21.6" customHeight="1" s="730">
      <c r="A103" s="26" t="n"/>
      <c r="AG103" s="248" t="n"/>
    </row>
    <row r="104" ht="21.6" customHeight="1" s="730">
      <c r="A104" s="1115" t="inlineStr">
        <is>
          <t>배출가스량 계산(Sm3/h)</t>
        </is>
      </c>
      <c r="AG104" s="248" t="n"/>
    </row>
    <row r="105" ht="21.6" customHeight="1" s="730">
      <c r="A105" s="26" t="n"/>
      <c r="AG105" s="248" t="n"/>
    </row>
    <row r="106" ht="21.6" customHeight="1" s="730">
      <c r="A106" s="26" t="n"/>
      <c r="AG106" s="248" t="n"/>
    </row>
    <row r="107" ht="21.6" customHeight="1" s="730">
      <c r="A107" s="26" t="n"/>
      <c r="AG107" s="248" t="n"/>
    </row>
    <row r="108" ht="21.6" customHeight="1" s="730">
      <c r="A108" s="246" t="n"/>
      <c r="B108" s="1165" t="n"/>
      <c r="C108" s="1165" t="n"/>
      <c r="D108" s="1165" t="n"/>
      <c r="E108" s="1165" t="n"/>
      <c r="F108" s="1165" t="n"/>
      <c r="G108" s="1165" t="n"/>
      <c r="H108" s="1165" t="n"/>
      <c r="I108" s="1165" t="n"/>
      <c r="J108" s="1165" t="n"/>
      <c r="K108" s="1165" t="n"/>
      <c r="L108" s="1165" t="n"/>
      <c r="M108" s="1165" t="n"/>
      <c r="N108" s="1165" t="n"/>
      <c r="O108" s="1165" t="n"/>
      <c r="P108" s="1165" t="n"/>
      <c r="Q108" s="1165" t="n"/>
      <c r="R108" s="1165" t="n"/>
      <c r="S108" s="1165" t="n"/>
      <c r="T108" s="1165" t="n"/>
      <c r="U108" s="1165" t="n"/>
      <c r="V108" s="1165" t="n"/>
      <c r="W108" s="1165" t="n"/>
      <c r="X108" s="1165" t="n"/>
      <c r="Y108" s="1165" t="n"/>
      <c r="Z108" s="1165" t="n"/>
      <c r="AA108" s="1165" t="n"/>
      <c r="AB108" s="1165" t="n"/>
      <c r="AC108" s="1165" t="n"/>
      <c r="AD108" s="1165" t="n"/>
      <c r="AE108" s="1165" t="n"/>
      <c r="AF108" s="1165" t="n"/>
      <c r="AG108" s="247" t="n"/>
    </row>
    <row r="109" ht="21.6" customHeight="1" s="730">
      <c r="A109" s="1115" t="inlineStr">
        <is>
          <t>배출가스량 계산 =</t>
        </is>
      </c>
      <c r="J109" s="1883">
        <f>F111*K111*O111/(273+Q112)*(T111+W111)/T112*(1-(AB111/AB112))*AF111</f>
        <v/>
      </c>
      <c r="O109" s="1064" t="inlineStr">
        <is>
          <t>Sm3/h</t>
        </is>
      </c>
      <c r="R109" s="1100" t="inlineStr">
        <is>
          <t>=</t>
        </is>
      </c>
      <c r="S109" s="1837" t="n"/>
      <c r="T109" s="1884">
        <f>J109/60</f>
        <v/>
      </c>
      <c r="U109" s="1837" t="n"/>
      <c r="V109" s="1837" t="n"/>
      <c r="W109" s="1837" t="n"/>
      <c r="X109" s="1837" t="n"/>
      <c r="Y109" s="1837" t="n"/>
      <c r="Z109" s="1837" t="n"/>
      <c r="AA109" s="1837" t="n"/>
      <c r="AG109" s="248" t="n"/>
    </row>
    <row r="110" ht="21.6" customHeight="1" s="730">
      <c r="A110" s="26" t="n"/>
      <c r="AG110" s="248" t="n"/>
    </row>
    <row r="111" ht="21.6" customHeight="1" s="730">
      <c r="A111" s="26" t="n"/>
      <c r="B111" s="1116" t="inlineStr">
        <is>
          <t>Qa=</t>
        </is>
      </c>
      <c r="E111" s="807" t="inlineStr">
        <is>
          <t>(</t>
        </is>
      </c>
      <c r="F111" s="1885">
        <f>'먼지측정 사전 Data'!H79</f>
        <v/>
      </c>
      <c r="H111" s="807" t="inlineStr">
        <is>
          <t>)</t>
        </is>
      </c>
      <c r="I111" s="1024" t="inlineStr">
        <is>
          <t>X</t>
        </is>
      </c>
      <c r="J111" s="807" t="inlineStr">
        <is>
          <t>(</t>
        </is>
      </c>
      <c r="K111" s="1886">
        <f>AB14</f>
        <v/>
      </c>
      <c r="M111" s="807" t="inlineStr">
        <is>
          <t>)</t>
        </is>
      </c>
      <c r="N111" s="1024" t="inlineStr">
        <is>
          <t>X</t>
        </is>
      </c>
      <c r="O111" s="1032" t="n">
        <v>273</v>
      </c>
      <c r="P111" s="1827" t="n"/>
      <c r="Q111" s="1827" t="n"/>
      <c r="R111" s="1827" t="n"/>
      <c r="S111" s="1024" t="inlineStr">
        <is>
          <t>X</t>
        </is>
      </c>
      <c r="T111" s="1032">
        <f>'먼지측정 사전 Data'!H11</f>
        <v/>
      </c>
      <c r="U111" s="1827" t="n"/>
      <c r="V111" s="1165" t="inlineStr">
        <is>
          <t>+</t>
        </is>
      </c>
      <c r="W111" s="1887">
        <f>('먼지측정 사전 Data'!H68)/13.6</f>
        <v/>
      </c>
      <c r="X111" s="1827" t="n"/>
      <c r="Y111" s="1024" t="inlineStr">
        <is>
          <t>X</t>
        </is>
      </c>
      <c r="Z111" s="807" t="inlineStr">
        <is>
          <t>(</t>
        </is>
      </c>
      <c r="AA111" s="807" t="inlineStr">
        <is>
          <t>1-</t>
        </is>
      </c>
      <c r="AB111" s="1888">
        <f>'먼지측정 사전 Data'!H56</f>
        <v/>
      </c>
      <c r="AC111" s="1827" t="n"/>
      <c r="AD111" s="807" t="inlineStr">
        <is>
          <t>)</t>
        </is>
      </c>
      <c r="AE111" s="1024" t="inlineStr">
        <is>
          <t>X</t>
        </is>
      </c>
      <c r="AF111" s="1090" t="n">
        <v>3600</v>
      </c>
      <c r="AG111" s="1854" t="n"/>
    </row>
    <row r="112" ht="21.6" customHeight="1" s="730">
      <c r="A112" s="26" t="n"/>
      <c r="O112" s="1064" t="inlineStr">
        <is>
          <t>273+</t>
        </is>
      </c>
      <c r="Q112" s="1100">
        <f>'먼지측정 사전 Data'!R66</f>
        <v/>
      </c>
      <c r="R112" s="1837" t="n"/>
      <c r="T112" s="807" t="n">
        <v>760</v>
      </c>
      <c r="AB112" s="807" t="n">
        <v>100</v>
      </c>
      <c r="AG112" s="1854" t="n"/>
    </row>
    <row r="113" ht="21.6" customHeight="1" s="730">
      <c r="A113" s="246" t="n"/>
      <c r="B113" s="1165" t="n"/>
      <c r="C113" s="1165" t="n"/>
      <c r="D113" s="1165" t="n"/>
      <c r="E113" s="1165" t="n"/>
      <c r="F113" s="1165" t="n"/>
      <c r="G113" s="1165" t="n"/>
      <c r="H113" s="1165" t="n"/>
      <c r="I113" s="1165" t="n"/>
      <c r="J113" s="1165" t="n"/>
      <c r="K113" s="1165" t="n"/>
      <c r="L113" s="1165" t="n"/>
      <c r="M113" s="1165" t="n"/>
      <c r="N113" s="1165" t="n"/>
      <c r="O113" s="1165" t="n"/>
      <c r="P113" s="1165" t="n"/>
      <c r="Q113" s="1165" t="n"/>
      <c r="R113" s="1165" t="n"/>
      <c r="S113" s="1165" t="n"/>
      <c r="T113" s="1165" t="n"/>
      <c r="U113" s="1165" t="n"/>
      <c r="V113" s="1165" t="n"/>
      <c r="W113" s="1165" t="n"/>
      <c r="X113" s="1165" t="n"/>
      <c r="Y113" s="1165" t="n"/>
      <c r="Z113" s="1165" t="n"/>
      <c r="AA113" s="1165" t="n"/>
      <c r="AB113" s="1165" t="n"/>
      <c r="AC113" s="1165" t="n"/>
      <c r="AD113" s="1165" t="n"/>
      <c r="AE113" s="1165" t="n"/>
      <c r="AF113" s="1165" t="n"/>
      <c r="AG113" s="247" t="n"/>
    </row>
    <row r="114" ht="21.6" customHeight="1" s="730">
      <c r="A114" s="26" t="n"/>
      <c r="AG114" s="248" t="n"/>
    </row>
    <row r="115" ht="21.6" customHeight="1" s="730">
      <c r="A115" s="1115" t="inlineStr">
        <is>
          <t>먼지 농도 계산</t>
        </is>
      </c>
      <c r="H115" s="14" t="inlineStr">
        <is>
          <t>(mg/Sm3)</t>
        </is>
      </c>
      <c r="AG115" s="248" t="n"/>
    </row>
    <row r="116" ht="21.6" customHeight="1" s="730">
      <c r="A116" s="26" t="n"/>
      <c r="AG116" s="248" t="n"/>
    </row>
    <row r="117" ht="21.6" customHeight="1" s="730">
      <c r="A117" s="26" t="n"/>
      <c r="AG117" s="248" t="n"/>
    </row>
    <row r="118" ht="21.6" customHeight="1" s="730">
      <c r="A118" s="26" t="n"/>
      <c r="AG118" s="248" t="n"/>
    </row>
    <row r="119" ht="21.6" customHeight="1" s="730">
      <c r="A119" s="26" t="n"/>
      <c r="AG119" s="248" t="n"/>
    </row>
    <row r="120" ht="21.6" customHeight="1" s="730">
      <c r="A120" s="246" t="n"/>
      <c r="B120" s="1165" t="n"/>
      <c r="C120" s="1165" t="n"/>
      <c r="D120" s="1165" t="n"/>
      <c r="E120" s="1165" t="n"/>
      <c r="F120" s="1165" t="n"/>
      <c r="G120" s="1165" t="n"/>
      <c r="H120" s="1165" t="n"/>
      <c r="I120" s="1165" t="n"/>
      <c r="J120" s="1165" t="n"/>
      <c r="K120" s="1165" t="n"/>
      <c r="L120" s="1165" t="n"/>
      <c r="M120" s="1165" t="n"/>
      <c r="N120" s="1165" t="n"/>
      <c r="O120" s="1165" t="n"/>
      <c r="P120" s="1165" t="n"/>
      <c r="Q120" s="1165" t="n"/>
      <c r="R120" s="1165" t="n"/>
      <c r="S120" s="1165" t="n"/>
      <c r="T120" s="1165" t="n"/>
      <c r="U120" s="1165" t="n"/>
      <c r="V120" s="1165" t="n"/>
      <c r="W120" s="1165" t="n"/>
      <c r="X120" s="1165" t="n"/>
      <c r="Y120" s="1165" t="n"/>
      <c r="Z120" s="1165" t="n"/>
      <c r="AA120" s="1165" t="n"/>
      <c r="AB120" s="1165" t="n"/>
      <c r="AC120" s="1165" t="n"/>
      <c r="AD120" s="1165" t="n"/>
      <c r="AE120" s="1165" t="n"/>
      <c r="AF120" s="1165" t="n"/>
      <c r="AG120" s="247" t="n"/>
    </row>
    <row r="121" ht="21.6" customHeight="1" s="730">
      <c r="A121" s="1119" t="inlineStr">
        <is>
          <t>먼지 농도 계산 =</t>
        </is>
      </c>
      <c r="B121" s="1837" t="n"/>
      <c r="C121" s="1837" t="n"/>
      <c r="D121" s="1837" t="n"/>
      <c r="E121" s="1837" t="n"/>
      <c r="F121" s="1837" t="n"/>
      <c r="G121" s="1837" t="n"/>
      <c r="H121" s="1837" t="n"/>
      <c r="I121" s="1837" t="n"/>
      <c r="J121" s="1889">
        <f>ROUND(L124*(273+M126)*Q126/(F125*K125*(Q125+U125/13.6)),1)</f>
        <v/>
      </c>
      <c r="K121" s="1837" t="n"/>
      <c r="L121" s="1837" t="n"/>
      <c r="M121" s="1837" t="n"/>
      <c r="N121" s="1837" t="n"/>
      <c r="O121" s="1064" t="inlineStr">
        <is>
          <t>mg/Sm3</t>
        </is>
      </c>
      <c r="AG121" s="248" t="n"/>
      <c r="AK121" s="1161">
        <f>L124*((273+19)*Q126)/(F125*K125*(Q125+U125/13.6))</f>
        <v/>
      </c>
    </row>
    <row r="122" ht="21.6" customHeight="1" s="730">
      <c r="A122" s="26" t="n"/>
      <c r="AG122" s="248" t="n"/>
    </row>
    <row r="123" ht="21.6" customHeight="1" s="730">
      <c r="A123" s="26" t="n"/>
      <c r="AG123" s="248" t="n"/>
    </row>
    <row r="124" ht="21.6" customHeight="1" s="730">
      <c r="A124" s="26" t="n"/>
      <c r="B124" s="1116" t="inlineStr">
        <is>
          <t>Ca=</t>
        </is>
      </c>
      <c r="E124" s="1165" t="n"/>
      <c r="F124" s="1165" t="n"/>
      <c r="G124" s="1165" t="n"/>
      <c r="H124" s="1165" t="n"/>
      <c r="I124" s="1165" t="n"/>
      <c r="J124" s="1165" t="n"/>
      <c r="K124" s="1071" t="inlineStr">
        <is>
          <t>(</t>
        </is>
      </c>
      <c r="L124" s="1876">
        <f>(입력!D44-입력!D43)*1000</f>
        <v/>
      </c>
      <c r="M124" s="1827" t="n"/>
      <c r="N124" s="1827" t="n"/>
      <c r="O124" s="1827" t="n"/>
      <c r="P124" s="1827" t="n"/>
      <c r="Q124" s="1827" t="n"/>
      <c r="R124" s="1165" t="inlineStr">
        <is>
          <t>)</t>
        </is>
      </c>
      <c r="S124" s="1165" t="n"/>
      <c r="T124" s="1165" t="n"/>
      <c r="U124" s="1165" t="n"/>
      <c r="V124" s="1165" t="n"/>
      <c r="W124" s="1165" t="n"/>
      <c r="X124" s="1165" t="n"/>
      <c r="Y124" s="1165" t="n"/>
      <c r="AG124" s="248" t="n"/>
    </row>
    <row r="125" ht="21.6" customHeight="1" s="730">
      <c r="A125" s="26" t="n"/>
      <c r="E125" s="807" t="inlineStr">
        <is>
          <t>(</t>
        </is>
      </c>
      <c r="F125" s="1890">
        <f>'먼지측정 사전 Data'!R77</f>
        <v/>
      </c>
      <c r="I125" s="807" t="inlineStr">
        <is>
          <t>)</t>
        </is>
      </c>
      <c r="J125" s="1024" t="inlineStr">
        <is>
          <t>X</t>
        </is>
      </c>
      <c r="K125" s="1032" t="n">
        <v>273</v>
      </c>
      <c r="L125" s="1827" t="n"/>
      <c r="M125" s="1827" t="n"/>
      <c r="N125" s="1827" t="n"/>
      <c r="O125" s="1827" t="n"/>
      <c r="P125" s="1024" t="inlineStr">
        <is>
          <t>X</t>
        </is>
      </c>
      <c r="Q125" s="1032">
        <f>'먼지측정 사전 Data'!H11</f>
        <v/>
      </c>
      <c r="R125" s="1827" t="n"/>
      <c r="S125" s="1827" t="n"/>
      <c r="T125" s="1165" t="inlineStr">
        <is>
          <t>+</t>
        </is>
      </c>
      <c r="U125" s="1876">
        <f>'먼지측정 사전 Data'!H83</f>
        <v/>
      </c>
      <c r="V125" s="1827" t="n"/>
      <c r="W125" s="1827" t="n"/>
      <c r="X125" s="1165" t="inlineStr">
        <is>
          <t>/13.6</t>
        </is>
      </c>
      <c r="Y125" s="1165" t="n"/>
      <c r="AG125" s="248" t="n"/>
    </row>
    <row r="126" ht="21.6" customHeight="1" s="730">
      <c r="A126" s="26" t="n"/>
      <c r="K126" s="1064" t="inlineStr">
        <is>
          <t>273+</t>
        </is>
      </c>
      <c r="M126" s="1160">
        <f>'먼지측정 사전 Data'!R71</f>
        <v/>
      </c>
      <c r="Q126" s="1100" t="n">
        <v>760</v>
      </c>
      <c r="R126" s="1837" t="n"/>
      <c r="S126" s="1837" t="n"/>
      <c r="T126" s="1837" t="n"/>
      <c r="U126" s="1837" t="n"/>
      <c r="V126" s="1837" t="n"/>
      <c r="W126" s="1837" t="n"/>
      <c r="X126" s="1837" t="n"/>
      <c r="Y126" s="1837" t="n"/>
      <c r="AG126" s="248" t="n"/>
    </row>
    <row r="127" ht="21.6" customHeight="1" s="730">
      <c r="A127" s="246" t="n"/>
      <c r="B127" s="1165" t="n"/>
      <c r="C127" s="1165" t="n"/>
      <c r="D127" s="1165" t="n"/>
      <c r="E127" s="1165" t="n"/>
      <c r="F127" s="1165" t="n"/>
      <c r="G127" s="1165" t="n"/>
      <c r="H127" s="1165" t="n"/>
      <c r="I127" s="1165" t="n"/>
      <c r="J127" s="1165" t="n"/>
      <c r="K127" s="1165" t="n"/>
      <c r="L127" s="1165" t="n"/>
      <c r="M127" s="1165" t="n"/>
      <c r="N127" s="1165" t="n"/>
      <c r="O127" s="1165" t="n"/>
      <c r="P127" s="1165" t="n"/>
      <c r="Q127" s="1165" t="n"/>
      <c r="R127" s="1165" t="n"/>
      <c r="S127" s="1165" t="n"/>
      <c r="T127" s="1165" t="n"/>
      <c r="U127" s="1165" t="n"/>
      <c r="V127" s="1165" t="n"/>
      <c r="W127" s="1165" t="n"/>
      <c r="X127" s="1165" t="n"/>
      <c r="Y127" s="1165" t="n"/>
      <c r="Z127" s="1165" t="n"/>
      <c r="AA127" s="1165" t="n"/>
      <c r="AB127" s="1165" t="n"/>
      <c r="AC127" s="1165" t="n"/>
      <c r="AD127" s="1165" t="n"/>
      <c r="AE127" s="1165" t="n"/>
      <c r="AF127" s="1165" t="n"/>
      <c r="AG127" s="247" t="n"/>
    </row>
    <row r="128" ht="21.6" customHeight="1" s="730">
      <c r="A128" s="1119" t="inlineStr">
        <is>
          <t>먼지 농도</t>
        </is>
      </c>
      <c r="B128" s="1837" t="n"/>
      <c r="C128" s="1837" t="n"/>
      <c r="D128" s="1837" t="n"/>
      <c r="E128" s="1837" t="n"/>
      <c r="M128" s="243" t="n"/>
      <c r="N128" s="1119" t="inlineStr">
        <is>
          <t>먼지 농도 =</t>
        </is>
      </c>
      <c r="O128" s="1837" t="n"/>
      <c r="P128" s="1837" t="n"/>
      <c r="Q128" s="1837" t="n"/>
      <c r="R128" s="1837" t="n"/>
      <c r="S128" s="1837" t="n"/>
      <c r="T128" s="1889">
        <f>J121*((21-'먼지측정 사전 Data'!R7)/(21-'먼지측정 사전 Data'!H7))</f>
        <v/>
      </c>
      <c r="U128" s="1837" t="n"/>
      <c r="V128" s="1837" t="n"/>
      <c r="W128" s="1837" t="n"/>
      <c r="X128" s="1837" t="n"/>
      <c r="Y128" s="1064" t="inlineStr">
        <is>
          <t>mg/m3</t>
        </is>
      </c>
      <c r="AG128" s="248" t="n"/>
    </row>
    <row r="129" ht="21.6" customHeight="1" s="730">
      <c r="A129" s="26" t="n"/>
      <c r="M129" s="248" t="n"/>
      <c r="AG129" s="248" t="n"/>
    </row>
    <row r="130" ht="21.6" customHeight="1" s="730">
      <c r="A130" s="26" t="n"/>
      <c r="M130" s="248" t="n"/>
      <c r="N130" s="1071" t="inlineStr">
        <is>
          <t>C=</t>
        </is>
      </c>
      <c r="P130" s="1071" t="inlineStr">
        <is>
          <t>(</t>
        </is>
      </c>
      <c r="Q130" s="1891">
        <f>J121</f>
        <v/>
      </c>
      <c r="T130" s="1044" t="inlineStr">
        <is>
          <t>)</t>
        </is>
      </c>
      <c r="U130" s="1102" t="inlineStr">
        <is>
          <t>X</t>
        </is>
      </c>
      <c r="V130" s="1071" t="inlineStr">
        <is>
          <t>21-</t>
        </is>
      </c>
      <c r="W130" s="1827" t="n"/>
      <c r="X130" s="1032">
        <f>'먼지측정 사전 Data'!R7</f>
        <v/>
      </c>
      <c r="Y130" s="1827" t="n"/>
      <c r="Z130" s="1827" t="n"/>
      <c r="AG130" s="248" t="n"/>
    </row>
    <row r="131" ht="21.6" customHeight="1" s="730">
      <c r="A131" s="246" t="n"/>
      <c r="B131" s="1165" t="n"/>
      <c r="C131" s="1165" t="n"/>
      <c r="D131" s="1165" t="n"/>
      <c r="E131" s="1165" t="n"/>
      <c r="F131" s="1165" t="n"/>
      <c r="G131" s="1165" t="n"/>
      <c r="H131" s="1165" t="n"/>
      <c r="I131" s="1165" t="n"/>
      <c r="J131" s="1165" t="n"/>
      <c r="K131" s="1165" t="n"/>
      <c r="L131" s="1165" t="n"/>
      <c r="M131" s="247" t="n"/>
      <c r="N131" s="1827" t="n"/>
      <c r="O131" s="1827" t="n"/>
      <c r="P131" s="1827" t="n"/>
      <c r="Q131" s="1827" t="n"/>
      <c r="R131" s="1827" t="n"/>
      <c r="S131" s="1827" t="n"/>
      <c r="T131" s="1827" t="n"/>
      <c r="U131" s="1827" t="n"/>
      <c r="V131" s="1099" t="inlineStr">
        <is>
          <t>21-</t>
        </is>
      </c>
      <c r="W131" s="1829" t="n"/>
      <c r="X131" s="1088">
        <f>'먼지측정 사전 Data'!H7</f>
        <v/>
      </c>
      <c r="Y131" s="1829" t="n"/>
      <c r="Z131" s="1829" t="n"/>
      <c r="AA131" s="1165" t="n"/>
      <c r="AB131" s="1165" t="n"/>
      <c r="AC131" s="1165" t="n"/>
      <c r="AD131" s="1033" t="n"/>
      <c r="AE131" s="1827" t="n"/>
      <c r="AF131" s="1827" t="n"/>
      <c r="AG131" s="1843" t="n"/>
    </row>
    <row r="132" ht="21.6" customHeight="1" s="730">
      <c r="A132" s="26" t="inlineStr">
        <is>
          <t>배출가스 유량</t>
        </is>
      </c>
      <c r="N132" s="1100" t="inlineStr">
        <is>
          <t>배출가스유량 =</t>
        </is>
      </c>
      <c r="O132" s="1837" t="n"/>
      <c r="P132" s="1837" t="n"/>
      <c r="Q132" s="1837" t="n"/>
      <c r="R132" s="1837" t="n"/>
      <c r="S132" s="1837" t="n"/>
      <c r="T132" s="1837" t="n"/>
      <c r="U132" s="1889">
        <f>J109/((21-'먼지측정 사전 Data'!R7)/(21-'먼지측정 사전 Data'!H7))</f>
        <v/>
      </c>
      <c r="V132" s="1837" t="n"/>
      <c r="W132" s="1837" t="n"/>
      <c r="X132" s="1837" t="n"/>
      <c r="Y132" s="1837" t="n"/>
      <c r="Z132" s="1064" t="inlineStr">
        <is>
          <t>Sm3/h</t>
        </is>
      </c>
      <c r="AB132" s="5" t="inlineStr">
        <is>
          <t>=</t>
        </is>
      </c>
      <c r="AC132" s="1892">
        <f>U132/60</f>
        <v/>
      </c>
      <c r="AD132" s="1837" t="n"/>
      <c r="AE132" s="1837" t="n"/>
      <c r="AF132" s="1837" t="n"/>
      <c r="AG132" s="1838" t="n"/>
    </row>
    <row r="133" ht="21.6" customHeight="1" s="730">
      <c r="A133" s="26" t="n"/>
      <c r="AG133" s="248" t="n"/>
    </row>
    <row r="134" ht="21.6" customHeight="1" s="730">
      <c r="A134" s="26" t="n"/>
      <c r="N134" s="1071" t="inlineStr">
        <is>
          <t>Q=</t>
        </is>
      </c>
      <c r="P134" s="1071" t="inlineStr">
        <is>
          <t>(</t>
        </is>
      </c>
      <c r="Q134" s="1893">
        <f>J109</f>
        <v/>
      </c>
      <c r="T134" s="1044" t="inlineStr">
        <is>
          <t>)</t>
        </is>
      </c>
      <c r="U134" s="1102" t="inlineStr">
        <is>
          <t>÷</t>
        </is>
      </c>
      <c r="V134" s="1071" t="inlineStr">
        <is>
          <t>21-</t>
        </is>
      </c>
      <c r="W134" s="1827" t="n"/>
      <c r="X134" s="1032">
        <f>'먼지측정 사전 Data'!R7</f>
        <v/>
      </c>
      <c r="Y134" s="1827" t="n"/>
      <c r="Z134" s="1827" t="n"/>
      <c r="AG134" s="248" t="n"/>
    </row>
    <row r="135" ht="21.6" customHeight="1" s="730">
      <c r="A135" s="246" t="n"/>
      <c r="B135" s="1165" t="n"/>
      <c r="C135" s="1165" t="n"/>
      <c r="D135" s="1165" t="n"/>
      <c r="E135" s="1165" t="n"/>
      <c r="F135" s="1165" t="n"/>
      <c r="G135" s="1165" t="n"/>
      <c r="H135" s="1165" t="n"/>
      <c r="I135" s="1165" t="n"/>
      <c r="J135" s="1165" t="n"/>
      <c r="K135" s="1165" t="n"/>
      <c r="L135" s="1165" t="n"/>
      <c r="M135" s="1165" t="n"/>
      <c r="N135" s="1827" t="n"/>
      <c r="O135" s="1827" t="n"/>
      <c r="P135" s="1827" t="n"/>
      <c r="Q135" s="1827" t="n"/>
      <c r="R135" s="1827" t="n"/>
      <c r="S135" s="1827" t="n"/>
      <c r="T135" s="1827" t="n"/>
      <c r="U135" s="1827" t="n"/>
      <c r="V135" s="1071" t="inlineStr">
        <is>
          <t>21-</t>
        </is>
      </c>
      <c r="W135" s="1827" t="n"/>
      <c r="X135" s="1032">
        <f>'먼지측정 사전 Data'!H7</f>
        <v/>
      </c>
      <c r="Y135" s="1827" t="n"/>
      <c r="Z135" s="1827" t="n"/>
      <c r="AA135" s="1165" t="n"/>
      <c r="AB135" s="1165" t="n"/>
      <c r="AC135" s="1165" t="n"/>
      <c r="AD135" s="1165" t="n"/>
      <c r="AE135" s="1165" t="n"/>
      <c r="AF135" s="1165" t="n"/>
      <c r="AG135" s="247" t="n"/>
    </row>
    <row r="136" ht="21.6" customHeight="1" s="730">
      <c r="A136" s="799" t="inlineStr">
        <is>
          <t>v :</t>
        </is>
      </c>
      <c r="B136" s="1837" t="n"/>
      <c r="C136" s="1067" t="inlineStr">
        <is>
          <t>배출가스 평균유속(m/s)</t>
        </is>
      </c>
      <c r="D136" s="1837" t="n"/>
      <c r="E136" s="1837" t="n"/>
      <c r="F136" s="1837" t="n"/>
      <c r="G136" s="1837" t="n"/>
      <c r="H136" s="1837" t="n"/>
      <c r="I136" s="1837" t="n"/>
      <c r="J136" s="13" t="n"/>
      <c r="K136" s="13" t="n"/>
      <c r="L136" s="13" t="n"/>
      <c r="M136" s="13" t="n"/>
      <c r="N136" s="13" t="n"/>
      <c r="O136" s="13" t="n"/>
      <c r="P136" s="13" t="n"/>
      <c r="Q136" s="1084" t="inlineStr">
        <is>
          <t>A :</t>
        </is>
      </c>
      <c r="R136" s="1837" t="n"/>
      <c r="S136" s="1067" t="inlineStr">
        <is>
          <t>굴뚝의 단면적(m2)</t>
        </is>
      </c>
      <c r="T136" s="1837" t="n"/>
      <c r="U136" s="1837" t="n"/>
      <c r="V136" s="1837" t="n"/>
      <c r="W136" s="1837" t="n"/>
      <c r="X136" s="1837" t="n"/>
      <c r="Y136" s="13" t="n"/>
      <c r="Z136" s="13" t="n"/>
      <c r="AA136" s="13" t="n"/>
      <c r="AB136" s="13" t="n"/>
      <c r="AC136" s="13" t="n"/>
      <c r="AD136" s="13" t="n"/>
      <c r="AE136" s="13" t="n"/>
      <c r="AF136" s="13" t="n"/>
      <c r="AG136" s="217" t="n"/>
    </row>
    <row r="137" ht="21.6" customHeight="1" s="730">
      <c r="A137" s="791" t="inlineStr">
        <is>
          <t>Θs :</t>
        </is>
      </c>
      <c r="C137" s="1079" t="inlineStr">
        <is>
          <t>배출가스 평균온도(℃)</t>
        </is>
      </c>
      <c r="J137" s="13" t="n"/>
      <c r="K137" s="13" t="n"/>
      <c r="L137" s="13" t="n"/>
      <c r="M137" s="13" t="n"/>
      <c r="N137" s="13" t="n"/>
      <c r="O137" s="13" t="n"/>
      <c r="P137" s="13" t="n"/>
      <c r="Q137" s="1085" t="inlineStr">
        <is>
          <t>Pa :</t>
        </is>
      </c>
      <c r="S137" s="1079" t="inlineStr">
        <is>
          <t>대기압(mmHg)</t>
        </is>
      </c>
      <c r="X137" s="13" t="n"/>
      <c r="Y137" s="13" t="n"/>
      <c r="Z137" s="13" t="n"/>
      <c r="AA137" s="13" t="n"/>
      <c r="AB137" s="13" t="n"/>
      <c r="AC137" s="13" t="n"/>
      <c r="AD137" s="13" t="n"/>
      <c r="AE137" s="13" t="n"/>
      <c r="AF137" s="13" t="n"/>
      <c r="AG137" s="217" t="n"/>
    </row>
    <row r="138" ht="21.6" customHeight="1" s="730">
      <c r="A138" s="791" t="inlineStr">
        <is>
          <t>Ps :</t>
        </is>
      </c>
      <c r="C138" s="1070" t="inlineStr">
        <is>
          <t>배출가스 평균정압(mmHg)</t>
        </is>
      </c>
      <c r="D138" s="1880" t="n"/>
      <c r="E138" s="1880" t="n"/>
      <c r="F138" s="1880" t="n"/>
      <c r="G138" s="1880" t="n"/>
      <c r="H138" s="1880" t="n"/>
      <c r="I138" s="1880" t="n"/>
      <c r="J138" s="1880" t="n"/>
      <c r="K138" s="13" t="n"/>
      <c r="L138" s="13" t="n"/>
      <c r="M138" s="13" t="n"/>
      <c r="N138" s="13" t="n"/>
      <c r="O138" s="13" t="n"/>
      <c r="P138" s="13" t="n"/>
      <c r="Q138" s="1085" t="inlineStr">
        <is>
          <t>Xw :</t>
        </is>
      </c>
      <c r="S138" s="1070" t="inlineStr">
        <is>
          <t>배출가스중의 수분량(%)</t>
        </is>
      </c>
      <c r="T138" s="1880" t="n"/>
      <c r="U138" s="1880" t="n"/>
      <c r="V138" s="1880" t="n"/>
      <c r="W138" s="1880" t="n"/>
      <c r="X138" s="1880" t="n"/>
      <c r="Y138" s="1880" t="n"/>
      <c r="Z138" s="1880" t="n"/>
      <c r="AA138" s="13" t="n"/>
      <c r="AB138" s="13" t="n"/>
      <c r="AC138" s="13" t="n"/>
      <c r="AD138" s="13" t="n"/>
      <c r="AE138" s="13" t="n"/>
      <c r="AF138" s="13" t="n"/>
      <c r="AG138" s="217" t="n"/>
    </row>
    <row r="139" ht="21.6" customHeight="1" s="730">
      <c r="A139" s="1118" t="inlineStr">
        <is>
          <t>md :</t>
        </is>
      </c>
      <c r="B139" s="1881" t="n"/>
      <c r="C139" s="221" t="inlineStr">
        <is>
          <t>포집된 먼지량(mg)</t>
        </is>
      </c>
      <c r="D139" s="221" t="n"/>
      <c r="E139" s="221" t="n"/>
      <c r="F139" s="221" t="n"/>
      <c r="G139" s="221" t="n"/>
      <c r="H139" s="221" t="n"/>
      <c r="I139" s="221" t="n"/>
      <c r="J139" s="221" t="n"/>
      <c r="K139" s="221" t="n"/>
      <c r="L139" s="221" t="n"/>
      <c r="M139" s="221" t="n"/>
      <c r="N139" s="221" t="n"/>
      <c r="O139" s="221" t="n"/>
      <c r="P139" s="221" t="n"/>
      <c r="Q139" s="1077" t="inlineStr">
        <is>
          <t>V'm :</t>
        </is>
      </c>
      <c r="R139" s="1881" t="n"/>
      <c r="S139" s="1069" t="inlineStr">
        <is>
          <t>건식가스미터에서 읽은 가스시료 채취량(m3)</t>
        </is>
      </c>
      <c r="T139" s="1881" t="n"/>
      <c r="U139" s="1881" t="n"/>
      <c r="V139" s="1881" t="n"/>
      <c r="W139" s="1881" t="n"/>
      <c r="X139" s="1881" t="n"/>
      <c r="Y139" s="1881" t="n"/>
      <c r="Z139" s="1881" t="n"/>
      <c r="AA139" s="1881" t="n"/>
      <c r="AB139" s="1881" t="n"/>
      <c r="AC139" s="1881" t="n"/>
      <c r="AD139" s="1881" t="n"/>
      <c r="AE139" s="1881" t="n"/>
      <c r="AF139" s="221" t="n"/>
      <c r="AG139" s="226" t="n"/>
    </row>
    <row r="140" ht="21.6" customHeight="1" s="730">
      <c r="A140" s="791" t="inlineStr">
        <is>
          <t>Θm :</t>
        </is>
      </c>
      <c r="C140" s="1079" t="inlineStr">
        <is>
          <t>건식가스미터의 평균온도(℃)</t>
        </is>
      </c>
      <c r="L140" s="13" t="n"/>
      <c r="M140" s="13" t="n"/>
      <c r="N140" s="13" t="n"/>
      <c r="O140" s="13" t="n"/>
      <c r="P140" s="13" t="n"/>
      <c r="Q140" s="1085" t="inlineStr">
        <is>
          <t>Pa :</t>
        </is>
      </c>
      <c r="S140" s="1079" t="inlineStr">
        <is>
          <t>측정공 위치의 대기압(mmHg)</t>
        </is>
      </c>
      <c r="AB140" s="13" t="n"/>
      <c r="AC140" s="13" t="n"/>
      <c r="AD140" s="13" t="n"/>
      <c r="AE140" s="13" t="n"/>
      <c r="AF140" s="13" t="n"/>
      <c r="AG140" s="217" t="n"/>
    </row>
    <row r="141" ht="21.6" customHeight="1" s="730">
      <c r="A141" s="1117" t="inlineStr">
        <is>
          <t>ΔH :</t>
        </is>
      </c>
      <c r="B141" s="1880" t="n"/>
      <c r="C141" s="1070" t="inlineStr">
        <is>
          <t>오리피스 압차(mmH2O)</t>
        </is>
      </c>
      <c r="D141" s="1880" t="n"/>
      <c r="E141" s="1880" t="n"/>
      <c r="F141" s="1880" t="n"/>
      <c r="G141" s="1880" t="n"/>
      <c r="H141" s="1880" t="n"/>
      <c r="I141" s="1880" t="n"/>
      <c r="J141" s="1880" t="n"/>
      <c r="K141" s="218" t="n"/>
      <c r="L141" s="218" t="n"/>
      <c r="M141" s="218" t="n"/>
      <c r="N141" s="218" t="n"/>
      <c r="O141" s="218" t="n"/>
      <c r="P141" s="218" t="n"/>
      <c r="Q141" s="1082" t="n"/>
      <c r="R141" s="1880" t="n"/>
      <c r="S141" s="218" t="n"/>
      <c r="T141" s="218" t="n"/>
      <c r="U141" s="218" t="n"/>
      <c r="V141" s="218" t="n"/>
      <c r="W141" s="218" t="n"/>
      <c r="X141" s="218" t="n"/>
      <c r="Y141" s="218" t="n"/>
      <c r="Z141" s="218" t="n"/>
      <c r="AA141" s="218" t="n"/>
      <c r="AB141" s="218" t="n"/>
      <c r="AC141" s="218" t="n"/>
      <c r="AD141" s="218" t="n"/>
      <c r="AE141" s="218" t="n"/>
      <c r="AF141" s="218" t="n"/>
      <c r="AG141" s="220" t="n"/>
    </row>
    <row r="142" ht="21.6" customHeight="1" s="730">
      <c r="A142" s="791" t="inlineStr">
        <is>
          <t>Os :</t>
        </is>
      </c>
      <c r="C142" s="1069" t="inlineStr">
        <is>
          <t>표준산소농도(%)</t>
        </is>
      </c>
      <c r="D142" s="1881" t="n"/>
      <c r="E142" s="1881" t="n"/>
      <c r="F142" s="1881" t="n"/>
      <c r="G142" s="1881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085" t="inlineStr">
        <is>
          <t>Oa :</t>
        </is>
      </c>
      <c r="S142" s="1069" t="inlineStr">
        <is>
          <t>실측산소농도(%)</t>
        </is>
      </c>
      <c r="T142" s="1881" t="n"/>
      <c r="U142" s="1881" t="n"/>
      <c r="V142" s="1881" t="n"/>
      <c r="W142" s="1881" t="n"/>
      <c r="X142" s="13" t="n"/>
      <c r="Y142" s="13" t="n"/>
      <c r="Z142" s="13" t="n"/>
      <c r="AA142" s="13" t="n"/>
      <c r="AB142" s="13" t="n"/>
      <c r="AC142" s="13" t="n"/>
      <c r="AD142" s="13" t="n"/>
      <c r="AE142" s="13" t="n"/>
      <c r="AF142" s="13" t="n"/>
      <c r="AG142" s="217" t="n"/>
    </row>
    <row r="143" ht="21.6" customHeight="1" s="730">
      <c r="A143" s="791" t="inlineStr">
        <is>
          <t>Ca :</t>
        </is>
      </c>
      <c r="C143" s="1079" t="inlineStr">
        <is>
          <t>실측오염물질농도(mg/Sm3 또는 ppm)</t>
        </is>
      </c>
      <c r="O143" s="13" t="n"/>
      <c r="P143" s="13" t="n"/>
      <c r="Q143" s="1085" t="inlineStr">
        <is>
          <t>Qa :</t>
        </is>
      </c>
      <c r="S143" s="1079" t="inlineStr">
        <is>
          <t xml:space="preserve">실측배출가스유량(Sm3/h) </t>
        </is>
      </c>
      <c r="AA143" s="13" t="n"/>
      <c r="AB143" s="13" t="n"/>
      <c r="AC143" s="13" t="n"/>
      <c r="AD143" s="13" t="n"/>
      <c r="AE143" s="13" t="n"/>
      <c r="AF143" s="13" t="n"/>
      <c r="AG143" s="217" t="n"/>
    </row>
    <row r="144" ht="21.6" customHeight="1" s="730">
      <c r="A144" s="227" t="n"/>
      <c r="B144" s="224" t="n"/>
      <c r="C144" s="224" t="n"/>
      <c r="D144" s="224" t="n"/>
      <c r="E144" s="224" t="n"/>
      <c r="F144" s="224" t="n"/>
      <c r="G144" s="224" t="n"/>
      <c r="H144" s="224" t="n"/>
      <c r="I144" s="224" t="n"/>
      <c r="J144" s="224" t="n"/>
      <c r="K144" s="224" t="n"/>
      <c r="L144" s="224" t="n"/>
      <c r="M144" s="224" t="n"/>
      <c r="N144" s="224" t="n"/>
      <c r="O144" s="224" t="n"/>
      <c r="P144" s="224" t="n"/>
      <c r="Q144" s="228" t="n"/>
      <c r="R144" s="224" t="n"/>
      <c r="S144" s="224" t="n"/>
      <c r="T144" s="224" t="n"/>
      <c r="U144" s="224" t="n"/>
      <c r="V144" s="224" t="n"/>
      <c r="W144" s="224" t="n"/>
      <c r="X144" s="224" t="n"/>
      <c r="Y144" s="224" t="n"/>
      <c r="Z144" s="224" t="n"/>
      <c r="AA144" s="224" t="n"/>
      <c r="AB144" s="224" t="n"/>
      <c r="AC144" s="224" t="n"/>
      <c r="AD144" s="224" t="n"/>
      <c r="AE144" s="224" t="n"/>
      <c r="AF144" s="224" t="n"/>
      <c r="AG144" s="225" t="n"/>
    </row>
    <row r="145" ht="14.25" customHeight="1" s="730"/>
    <row r="146" ht="14.25" customHeight="1" s="730"/>
    <row r="147" ht="14.25" customHeight="1" s="730"/>
    <row r="148" ht="14.25" customHeight="1" s="730"/>
    <row r="149" ht="14.25" customHeight="1" s="730"/>
    <row r="150" ht="14.25" customHeight="1" s="730"/>
    <row r="151" ht="14.25" customHeight="1" s="730"/>
    <row r="152" ht="14.25" customHeight="1" s="730"/>
    <row r="153" ht="14.25" customHeight="1" s="730"/>
    <row r="154" ht="14.25" customHeight="1" s="730"/>
    <row r="155" ht="14.25" customHeight="1" s="730"/>
    <row r="156" ht="14.25" customHeight="1" s="730"/>
    <row r="157" ht="14.25" customHeight="1" s="730"/>
    <row r="158" ht="14.25" customHeight="1" s="730"/>
    <row r="159" ht="14.25" customHeight="1" s="730"/>
    <row r="160" ht="14.25" customHeight="1" s="730"/>
    <row r="161" ht="14.25" customHeight="1" s="730"/>
    <row r="162" ht="14.25" customHeight="1" s="730"/>
    <row r="163" ht="14.25" customHeight="1" s="730"/>
    <row r="164" ht="14.25" customHeight="1" s="730"/>
    <row r="165" ht="14.25" customHeight="1" s="730"/>
    <row r="166" ht="14.25" customHeight="1" s="730"/>
    <row r="167" ht="14.25" customHeight="1" s="730"/>
    <row r="168" ht="14.25" customHeight="1" s="730"/>
    <row r="169" ht="14.25" customHeight="1" s="730"/>
    <row r="170" ht="14.25" customHeight="1" s="730"/>
    <row r="171" ht="14.25" customHeight="1" s="730"/>
    <row r="172" ht="14.25" customHeight="1" s="730"/>
    <row r="173" ht="14.25" customHeight="1" s="730"/>
    <row r="174" ht="14.25" customHeight="1" s="730"/>
    <row r="175" ht="14.25" customHeight="1" s="730"/>
    <row r="176" ht="14.25" customHeight="1" s="730"/>
    <row r="177" ht="14.25" customHeight="1" s="730"/>
    <row r="178" ht="14.25" customHeight="1" s="730"/>
    <row r="179" ht="14.25" customHeight="1" s="730"/>
    <row r="180" ht="14.25" customHeight="1" s="730"/>
    <row r="181" ht="14.25" customHeight="1" s="730"/>
    <row r="182" ht="14.25" customHeight="1" s="730"/>
    <row r="183" ht="14.25" customHeight="1" s="730"/>
    <row r="184" ht="14.25" customHeight="1" s="730"/>
    <row r="185" ht="14.25" customHeight="1" s="730"/>
    <row r="186" ht="14.25" customHeight="1" s="730"/>
    <row r="187" ht="14.25" customHeight="1" s="730"/>
    <row r="188" ht="14.25" customHeight="1" s="730"/>
    <row r="189" ht="14.25" customHeight="1" s="730"/>
    <row r="190" ht="14.25" customHeight="1" s="730"/>
    <row r="191" ht="14.25" customHeight="1" s="730"/>
    <row r="192" ht="14.25" customHeight="1" s="730"/>
    <row r="193" ht="14.25" customHeight="1" s="730"/>
    <row r="194" ht="14.25" customHeight="1" s="730"/>
    <row r="195" ht="14.25" customHeight="1" s="730"/>
    <row r="196" ht="14.25" customHeight="1" s="730"/>
    <row r="197" ht="14.25" customHeight="1" s="730"/>
    <row r="198" ht="14.25" customHeight="1" s="730"/>
    <row r="199" ht="14.25" customHeight="1" s="730"/>
    <row r="200" ht="14.25" customHeight="1" s="730"/>
    <row r="201" ht="14.25" customHeight="1" s="730"/>
    <row r="202" ht="14.25" customHeight="1" s="730"/>
    <row r="203" ht="14.25" customHeight="1" s="730"/>
    <row r="204" ht="14.25" customHeight="1" s="730"/>
    <row r="205" ht="14.25" customHeight="1" s="730"/>
    <row r="206" ht="14.25" customHeight="1" s="730"/>
    <row r="207" ht="14.25" customHeight="1" s="730"/>
    <row r="208" ht="14.25" customHeight="1" s="730"/>
    <row r="209" ht="14.25" customHeight="1" s="730"/>
    <row r="210" ht="14.25" customHeight="1" s="730"/>
    <row r="211" ht="14.25" customHeight="1" s="730"/>
    <row r="212" ht="14.25" customHeight="1" s="730"/>
    <row r="213" ht="14.25" customHeight="1" s="730"/>
    <row r="214" ht="14.25" customHeight="1" s="730"/>
    <row r="215" ht="14.25" customHeight="1" s="730"/>
    <row r="216" ht="14.25" customHeight="1" s="730"/>
    <row r="217" ht="14.25" customHeight="1" s="730"/>
    <row r="218" ht="14.25" customHeight="1" s="730"/>
    <row r="219" ht="14.25" customHeight="1" s="730"/>
    <row r="220" ht="14.25" customHeight="1" s="730"/>
    <row r="221" ht="14.25" customHeight="1" s="730"/>
    <row r="222" ht="14.25" customHeight="1" s="730"/>
    <row r="223" ht="14.25" customHeight="1" s="730"/>
    <row r="224" ht="14.25" customHeight="1" s="730"/>
    <row r="225" ht="14.25" customHeight="1" s="730"/>
    <row r="226" ht="14.25" customHeight="1" s="730"/>
    <row r="227" ht="14.25" customHeight="1" s="730"/>
    <row r="228" ht="14.25" customHeight="1" s="730"/>
    <row r="229" ht="14.25" customHeight="1" s="730"/>
    <row r="230" ht="14.25" customHeight="1" s="730"/>
    <row r="231" ht="14.25" customHeight="1" s="730"/>
    <row r="232" ht="14.25" customHeight="1" s="730"/>
    <row r="233" ht="14.25" customHeight="1" s="730"/>
    <row r="234" ht="14.25" customHeight="1" s="730"/>
    <row r="235" ht="14.25" customHeight="1" s="730"/>
    <row r="236" ht="14.25" customHeight="1" s="730"/>
    <row r="237" ht="14.25" customHeight="1" s="730"/>
    <row r="238" ht="14.25" customHeight="1" s="730"/>
    <row r="239" ht="14.25" customHeight="1" s="730"/>
    <row r="240" ht="14.25" customHeight="1" s="730"/>
    <row r="241" ht="14.25" customHeight="1" s="730"/>
    <row r="242" ht="14.25" customHeight="1" s="730"/>
    <row r="243" ht="14.25" customHeight="1" s="730"/>
    <row r="244" ht="14.25" customHeight="1" s="730"/>
    <row r="245" ht="14.25" customHeight="1" s="730"/>
    <row r="246" ht="14.25" customHeight="1" s="730"/>
    <row r="247" ht="14.25" customHeight="1" s="730"/>
    <row r="248" ht="14.25" customHeight="1" s="730"/>
    <row r="249" ht="14.25" customHeight="1" s="730"/>
    <row r="250" ht="14.25" customHeight="1" s="730"/>
    <row r="251" ht="14.25" customHeight="1" s="730"/>
    <row r="252" ht="14.25" customHeight="1" s="730"/>
    <row r="253" ht="14.25" customHeight="1" s="730"/>
    <row r="254" ht="14.25" customHeight="1" s="730"/>
    <row r="255" ht="14.25" customHeight="1" s="730"/>
    <row r="256" ht="14.25" customHeight="1" s="730"/>
    <row r="257" ht="14.25" customHeight="1" s="730"/>
    <row r="258" ht="14.25" customHeight="1" s="730"/>
    <row r="259" ht="14.25" customHeight="1" s="730"/>
    <row r="260" ht="14.25" customHeight="1" s="730"/>
    <row r="261" ht="14.25" customHeight="1" s="730"/>
    <row r="262" ht="14.25" customHeight="1" s="730"/>
    <row r="263" ht="14.25" customHeight="1" s="730"/>
    <row r="264" ht="14.25" customHeight="1" s="730"/>
    <row r="265" ht="14.25" customHeight="1" s="730"/>
    <row r="266" ht="14.25" customHeight="1" s="730"/>
    <row r="267" ht="14.25" customHeight="1" s="730"/>
    <row r="268" ht="14.25" customHeight="1" s="730"/>
    <row r="269" ht="14.25" customHeight="1" s="730"/>
    <row r="270" ht="14.25" customHeight="1" s="730"/>
    <row r="271" ht="14.25" customHeight="1" s="730"/>
    <row r="272" ht="14.25" customHeight="1" s="730"/>
    <row r="273" ht="14.25" customHeight="1" s="730"/>
    <row r="274" ht="14.25" customHeight="1" s="730"/>
    <row r="275" ht="14.25" customHeight="1" s="730"/>
    <row r="276" ht="14.25" customHeight="1" s="730"/>
    <row r="277" ht="14.25" customHeight="1" s="730"/>
    <row r="278" ht="14.25" customHeight="1" s="730"/>
    <row r="279" ht="14.25" customHeight="1" s="730"/>
    <row r="280" ht="14.25" customHeight="1" s="730"/>
    <row r="281" ht="14.25" customHeight="1" s="730"/>
    <row r="282" ht="14.25" customHeight="1" s="730"/>
    <row r="283" ht="14.25" customHeight="1" s="730"/>
    <row r="284" ht="14.25" customHeight="1" s="730"/>
    <row r="285" ht="14.25" customHeight="1" s="730"/>
    <row r="286" ht="14.25" customHeight="1" s="730"/>
    <row r="287" ht="14.25" customHeight="1" s="730"/>
    <row r="288" ht="14.25" customHeight="1" s="730"/>
    <row r="289" ht="14.25" customHeight="1" s="730"/>
    <row r="290" ht="14.25" customHeight="1" s="730"/>
    <row r="291" ht="14.25" customHeight="1" s="730"/>
    <row r="292" ht="14.25" customHeight="1" s="730"/>
    <row r="293" ht="14.25" customHeight="1" s="730"/>
    <row r="294" ht="14.25" customHeight="1" s="730"/>
    <row r="295" ht="14.25" customHeight="1" s="730"/>
    <row r="296" ht="14.25" customHeight="1" s="730"/>
    <row r="297" ht="14.25" customHeight="1" s="730"/>
    <row r="298" ht="14.25" customHeight="1" s="730"/>
    <row r="299" ht="14.25" customHeight="1" s="730"/>
    <row r="300" ht="14.25" customHeight="1" s="730"/>
    <row r="301" ht="14.25" customHeight="1" s="730"/>
    <row r="302" ht="14.25" customHeight="1" s="730"/>
    <row r="303" ht="14.25" customHeight="1" s="730"/>
    <row r="304" ht="14.25" customHeight="1" s="730"/>
    <row r="305" ht="14.25" customHeight="1" s="730"/>
    <row r="306" ht="14.25" customHeight="1" s="730"/>
    <row r="307" ht="14.25" customHeight="1" s="730"/>
    <row r="308" ht="14.25" customHeight="1" s="730"/>
    <row r="309" ht="14.25" customHeight="1" s="730"/>
    <row r="310" ht="14.25" customHeight="1" s="730"/>
    <row r="311" ht="14.25" customHeight="1" s="730"/>
    <row r="312" ht="14.25" customHeight="1" s="730"/>
    <row r="313" ht="14.25" customHeight="1" s="730"/>
    <row r="314" ht="14.25" customHeight="1" s="730"/>
    <row r="315" ht="14.25" customHeight="1" s="730"/>
    <row r="316" ht="14.25" customHeight="1" s="730"/>
    <row r="317" ht="14.25" customHeight="1" s="730"/>
    <row r="318" ht="14.25" customHeight="1" s="730"/>
    <row r="319" ht="14.25" customHeight="1" s="730"/>
    <row r="320" ht="14.25" customHeight="1" s="730"/>
    <row r="321" ht="14.25" customHeight="1" s="730"/>
    <row r="322" ht="14.25" customHeight="1" s="730"/>
    <row r="323" ht="14.25" customHeight="1" s="730"/>
    <row r="324" ht="14.25" customHeight="1" s="730"/>
    <row r="325" ht="14.25" customHeight="1" s="730"/>
    <row r="326" ht="14.25" customHeight="1" s="730"/>
    <row r="327" ht="14.25" customHeight="1" s="730"/>
    <row r="328" ht="14.25" customHeight="1" s="730"/>
    <row r="329" ht="14.25" customHeight="1" s="730"/>
    <row r="330" ht="14.25" customHeight="1" s="730"/>
    <row r="331" ht="14.25" customHeight="1" s="730"/>
    <row r="332" ht="14.25" customHeight="1" s="730"/>
    <row r="333" ht="14.25" customHeight="1" s="730"/>
    <row r="334" ht="14.25" customHeight="1" s="730"/>
    <row r="335" ht="14.25" customHeight="1" s="730"/>
    <row r="336" ht="14.25" customHeight="1" s="730"/>
    <row r="337" ht="14.25" customHeight="1" s="730"/>
    <row r="338" ht="14.25" customHeight="1" s="730"/>
    <row r="339" ht="14.25" customHeight="1" s="730"/>
    <row r="340" ht="14.25" customHeight="1" s="730"/>
    <row r="341" ht="14.25" customHeight="1" s="730"/>
    <row r="342" ht="14.25" customHeight="1" s="730"/>
    <row r="343" ht="14.25" customHeight="1" s="730"/>
    <row r="344" ht="14.25" customHeight="1" s="730"/>
    <row r="345" ht="14.25" customHeight="1" s="730"/>
    <row r="346" ht="14.25" customHeight="1" s="730"/>
    <row r="347" ht="14.25" customHeight="1" s="730"/>
    <row r="348" ht="14.25" customHeight="1" s="730"/>
    <row r="349" ht="14.25" customHeight="1" s="730"/>
    <row r="350" ht="14.25" customHeight="1" s="730"/>
    <row r="351" ht="14.25" customHeight="1" s="730"/>
    <row r="352" ht="14.25" customHeight="1" s="730"/>
    <row r="353" ht="14.25" customHeight="1" s="730"/>
    <row r="354" ht="14.25" customHeight="1" s="730"/>
    <row r="355" ht="14.25" customHeight="1" s="730"/>
    <row r="356" ht="14.25" customHeight="1" s="730"/>
    <row r="357" ht="14.25" customHeight="1" s="730"/>
    <row r="358" ht="14.25" customHeight="1" s="730"/>
    <row r="359" ht="14.25" customHeight="1" s="730"/>
    <row r="360" ht="14.25" customHeight="1" s="730"/>
    <row r="361" ht="14.25" customHeight="1" s="730"/>
    <row r="362" ht="14.25" customHeight="1" s="730"/>
    <row r="363" ht="14.25" customHeight="1" s="730"/>
    <row r="364" ht="14.25" customHeight="1" s="730"/>
  </sheetData>
  <mergeCells count="382">
    <mergeCell ref="K111:L112"/>
    <mergeCell ref="P29:R30"/>
    <mergeCell ref="P19:R19"/>
    <mergeCell ref="A109:I109"/>
    <mergeCell ref="Q90:R90"/>
    <mergeCell ref="AF111:AG112"/>
    <mergeCell ref="AE57:AG58"/>
    <mergeCell ref="S140:AA140"/>
    <mergeCell ref="N87:O87"/>
    <mergeCell ref="X60:AB60"/>
    <mergeCell ref="R55:U55"/>
    <mergeCell ref="U60:V60"/>
    <mergeCell ref="M111:M112"/>
    <mergeCell ref="W51:AE51"/>
    <mergeCell ref="X62:Z62"/>
    <mergeCell ref="M31:O31"/>
    <mergeCell ref="T112:X112"/>
    <mergeCell ref="P130:P131"/>
    <mergeCell ref="G21:I22"/>
    <mergeCell ref="AD59:AE59"/>
    <mergeCell ref="G23:I24"/>
    <mergeCell ref="A136:B136"/>
    <mergeCell ref="N102:AG102"/>
    <mergeCell ref="A31:C31"/>
    <mergeCell ref="W12:AA12"/>
    <mergeCell ref="S15:T15"/>
    <mergeCell ref="T76:X76"/>
    <mergeCell ref="A27:C28"/>
    <mergeCell ref="T68:W68"/>
    <mergeCell ref="P20:R20"/>
    <mergeCell ref="AB8:AG9"/>
    <mergeCell ref="Q138:R138"/>
    <mergeCell ref="AB112:AC112"/>
    <mergeCell ref="M21:O22"/>
    <mergeCell ref="AB23:AD24"/>
    <mergeCell ref="J25:L26"/>
    <mergeCell ref="AD111:AD112"/>
    <mergeCell ref="Q126:Y126"/>
    <mergeCell ref="D25:F26"/>
    <mergeCell ref="Q140:R140"/>
    <mergeCell ref="S97:AE97"/>
    <mergeCell ref="A143:B143"/>
    <mergeCell ref="M23:O24"/>
    <mergeCell ref="N64:O65"/>
    <mergeCell ref="G19:I19"/>
    <mergeCell ref="V31:X31"/>
    <mergeCell ref="N57:O58"/>
    <mergeCell ref="W65:AA65"/>
    <mergeCell ref="D23:F24"/>
    <mergeCell ref="V131:W131"/>
    <mergeCell ref="Q130:S131"/>
    <mergeCell ref="D18:F18"/>
    <mergeCell ref="N62:R62"/>
    <mergeCell ref="AE25:AG26"/>
    <mergeCell ref="M32:O32"/>
    <mergeCell ref="P27:R28"/>
    <mergeCell ref="C95:M95"/>
    <mergeCell ref="J27:L28"/>
    <mergeCell ref="I9:N9"/>
    <mergeCell ref="C138:J138"/>
    <mergeCell ref="T128:X128"/>
    <mergeCell ref="C140:K140"/>
    <mergeCell ref="S31:U31"/>
    <mergeCell ref="Q125:S125"/>
    <mergeCell ref="W9:AA9"/>
    <mergeCell ref="S90:AA90"/>
    <mergeCell ref="I11:N11"/>
    <mergeCell ref="K125:O125"/>
    <mergeCell ref="P70:Q71"/>
    <mergeCell ref="S101:X101"/>
    <mergeCell ref="D29:F30"/>
    <mergeCell ref="C99:K99"/>
    <mergeCell ref="Z77:AA77"/>
    <mergeCell ref="M29:O30"/>
    <mergeCell ref="S94:Y94"/>
    <mergeCell ref="T65:U65"/>
    <mergeCell ref="AB11:AG11"/>
    <mergeCell ref="M18:O18"/>
    <mergeCell ref="Q141:R141"/>
    <mergeCell ref="S98:AF98"/>
    <mergeCell ref="L124:Q124"/>
    <mergeCell ref="Q143:R143"/>
    <mergeCell ref="Y29:AA30"/>
    <mergeCell ref="C100:L100"/>
    <mergeCell ref="A25:C26"/>
    <mergeCell ref="E125:E126"/>
    <mergeCell ref="Y111:Y112"/>
    <mergeCell ref="AB6:AG6"/>
    <mergeCell ref="D19:F19"/>
    <mergeCell ref="W87:X87"/>
    <mergeCell ref="Q112:R112"/>
    <mergeCell ref="W5:AA5"/>
    <mergeCell ref="I12:N12"/>
    <mergeCell ref="C141:J141"/>
    <mergeCell ref="A6:H6"/>
    <mergeCell ref="AD60:AE60"/>
    <mergeCell ref="AB74:AE74"/>
    <mergeCell ref="AK25:AR25"/>
    <mergeCell ref="R70:R71"/>
    <mergeCell ref="A99:B99"/>
    <mergeCell ref="S136:X136"/>
    <mergeCell ref="V32:AA32"/>
    <mergeCell ref="U130:U131"/>
    <mergeCell ref="P134:P135"/>
    <mergeCell ref="Q93:R93"/>
    <mergeCell ref="A48:AG49"/>
    <mergeCell ref="A101:B101"/>
    <mergeCell ref="P21:R22"/>
    <mergeCell ref="A5:H5"/>
    <mergeCell ref="P23:R24"/>
    <mergeCell ref="X135:Z135"/>
    <mergeCell ref="A140:B140"/>
    <mergeCell ref="J111:J112"/>
    <mergeCell ref="AB15:AD15"/>
    <mergeCell ref="AB14:AG14"/>
    <mergeCell ref="V134:W134"/>
    <mergeCell ref="AE18:AG18"/>
    <mergeCell ref="V64:V65"/>
    <mergeCell ref="AC132:AG132"/>
    <mergeCell ref="N132:T132"/>
    <mergeCell ref="Q51:V51"/>
    <mergeCell ref="Y20:AA20"/>
    <mergeCell ref="C143:N143"/>
    <mergeCell ref="S12:T12"/>
    <mergeCell ref="V21:X22"/>
    <mergeCell ref="S25:U26"/>
    <mergeCell ref="A115:G115"/>
    <mergeCell ref="AE111:AE112"/>
    <mergeCell ref="P76:R77"/>
    <mergeCell ref="C96:O96"/>
    <mergeCell ref="D27:F28"/>
    <mergeCell ref="A89:B89"/>
    <mergeCell ref="P11:Q11"/>
    <mergeCell ref="S59:V59"/>
    <mergeCell ref="AB13:AG13"/>
    <mergeCell ref="Y21:AA22"/>
    <mergeCell ref="C98:O98"/>
    <mergeCell ref="Y76:Y77"/>
    <mergeCell ref="X130:Z130"/>
    <mergeCell ref="S76:S77"/>
    <mergeCell ref="A100:B100"/>
    <mergeCell ref="A21:C22"/>
    <mergeCell ref="X59:Y59"/>
    <mergeCell ref="Y27:AA28"/>
    <mergeCell ref="A23:C24"/>
    <mergeCell ref="A18:C18"/>
    <mergeCell ref="A53:M53"/>
    <mergeCell ref="S139:AE139"/>
    <mergeCell ref="I13:R13"/>
    <mergeCell ref="J32:L32"/>
    <mergeCell ref="AE19:AG19"/>
    <mergeCell ref="I111:I112"/>
    <mergeCell ref="AC59:AC60"/>
    <mergeCell ref="V23:X24"/>
    <mergeCell ref="N76:O77"/>
    <mergeCell ref="AB18:AD18"/>
    <mergeCell ref="G31:I31"/>
    <mergeCell ref="T109:AA109"/>
    <mergeCell ref="A96:B96"/>
    <mergeCell ref="P12:Q12"/>
    <mergeCell ref="W111:X111"/>
    <mergeCell ref="AE32:AG32"/>
    <mergeCell ref="S138:Z138"/>
    <mergeCell ref="M88:O88"/>
    <mergeCell ref="V130:W130"/>
    <mergeCell ref="T5:U5"/>
    <mergeCell ref="AB31:AD31"/>
    <mergeCell ref="J20:L20"/>
    <mergeCell ref="F111:G112"/>
    <mergeCell ref="V29:X30"/>
    <mergeCell ref="W52:AE52"/>
    <mergeCell ref="A12:H12"/>
    <mergeCell ref="A19:C19"/>
    <mergeCell ref="Z64:AA64"/>
    <mergeCell ref="AE20:AG20"/>
    <mergeCell ref="AC87:AG88"/>
    <mergeCell ref="AB32:AD32"/>
    <mergeCell ref="B87:D88"/>
    <mergeCell ref="Y25:AA26"/>
    <mergeCell ref="Q101:R101"/>
    <mergeCell ref="A79:L79"/>
    <mergeCell ref="A29:C30"/>
    <mergeCell ref="K87:L87"/>
    <mergeCell ref="S99:Y99"/>
    <mergeCell ref="AA111:AA112"/>
    <mergeCell ref="A98:B98"/>
    <mergeCell ref="C92:P92"/>
    <mergeCell ref="S29:U30"/>
    <mergeCell ref="A128:E128"/>
    <mergeCell ref="D21:F22"/>
    <mergeCell ref="N70:O71"/>
    <mergeCell ref="W7:AA7"/>
    <mergeCell ref="Q99:R99"/>
    <mergeCell ref="V18:AA18"/>
    <mergeCell ref="S142:W142"/>
    <mergeCell ref="N134:O135"/>
    <mergeCell ref="A1:AG4"/>
    <mergeCell ref="T62:W62"/>
    <mergeCell ref="C137:I137"/>
    <mergeCell ref="W8:AA8"/>
    <mergeCell ref="AB87:AB88"/>
    <mergeCell ref="A13:H13"/>
    <mergeCell ref="M20:O20"/>
    <mergeCell ref="A142:B142"/>
    <mergeCell ref="S13:AA13"/>
    <mergeCell ref="S111:S112"/>
    <mergeCell ref="Q136:R136"/>
    <mergeCell ref="J23:L24"/>
    <mergeCell ref="W64:X64"/>
    <mergeCell ref="N53:AG53"/>
    <mergeCell ref="A137:B137"/>
    <mergeCell ref="P18:R18"/>
    <mergeCell ref="S100:Y100"/>
    <mergeCell ref="C142:G142"/>
    <mergeCell ref="C89:L89"/>
    <mergeCell ref="A139:B139"/>
    <mergeCell ref="Y56:Z57"/>
    <mergeCell ref="S32:U32"/>
    <mergeCell ref="U88:W88"/>
    <mergeCell ref="Q89:R89"/>
    <mergeCell ref="V27:X28"/>
    <mergeCell ref="AE23:AG24"/>
    <mergeCell ref="M27:O28"/>
    <mergeCell ref="P31:R31"/>
    <mergeCell ref="V20:X20"/>
    <mergeCell ref="J21:L22"/>
    <mergeCell ref="I7:N7"/>
    <mergeCell ref="G25:I26"/>
    <mergeCell ref="V19:AA19"/>
    <mergeCell ref="Q100:R100"/>
    <mergeCell ref="A92:B92"/>
    <mergeCell ref="W10:AA10"/>
    <mergeCell ref="A94:B94"/>
    <mergeCell ref="AB12:AG12"/>
    <mergeCell ref="S20:U20"/>
    <mergeCell ref="AB7:AG7"/>
    <mergeCell ref="AE21:AG22"/>
    <mergeCell ref="S93:AE93"/>
    <mergeCell ref="AB25:AD26"/>
    <mergeCell ref="J18:L18"/>
    <mergeCell ref="M85:Q85"/>
    <mergeCell ref="C94:F94"/>
    <mergeCell ref="M25:O26"/>
    <mergeCell ref="D20:F20"/>
    <mergeCell ref="S92:W92"/>
    <mergeCell ref="Q95:R95"/>
    <mergeCell ref="N130:O131"/>
    <mergeCell ref="J19:L19"/>
    <mergeCell ref="P59:Q60"/>
    <mergeCell ref="Y15:AA15"/>
    <mergeCell ref="C90:L90"/>
    <mergeCell ref="Q52:V52"/>
    <mergeCell ref="S96:AD96"/>
    <mergeCell ref="A9:H9"/>
    <mergeCell ref="Q96:R96"/>
    <mergeCell ref="V135:W135"/>
    <mergeCell ref="Q139:R139"/>
    <mergeCell ref="Q134:S135"/>
    <mergeCell ref="W6:AA6"/>
    <mergeCell ref="G18:I18"/>
    <mergeCell ref="A11:H11"/>
    <mergeCell ref="J29:L30"/>
    <mergeCell ref="T87:U87"/>
    <mergeCell ref="P32:R32"/>
    <mergeCell ref="C136:I136"/>
    <mergeCell ref="I8:N8"/>
    <mergeCell ref="AB29:AD30"/>
    <mergeCell ref="B111:D112"/>
    <mergeCell ref="AB21:AD22"/>
    <mergeCell ref="I10:N10"/>
    <mergeCell ref="A95:B95"/>
    <mergeCell ref="A141:B141"/>
    <mergeCell ref="V56:X56"/>
    <mergeCell ref="A97:B97"/>
    <mergeCell ref="T130:T131"/>
    <mergeCell ref="AE29:AG30"/>
    <mergeCell ref="W11:AA11"/>
    <mergeCell ref="L14:R14"/>
    <mergeCell ref="G29:I30"/>
    <mergeCell ref="X131:Z131"/>
    <mergeCell ref="E111:E112"/>
    <mergeCell ref="T77:U77"/>
    <mergeCell ref="B124:D125"/>
    <mergeCell ref="S143:Z143"/>
    <mergeCell ref="U15:V15"/>
    <mergeCell ref="W15:X15"/>
    <mergeCell ref="Z76:AA76"/>
    <mergeCell ref="R59:R60"/>
    <mergeCell ref="E87:F87"/>
    <mergeCell ref="I5:N5"/>
    <mergeCell ref="A90:B90"/>
    <mergeCell ref="N128:S128"/>
    <mergeCell ref="A32:F32"/>
    <mergeCell ref="I88:K88"/>
    <mergeCell ref="P125:P126"/>
    <mergeCell ref="Z111:Z112"/>
    <mergeCell ref="J125:J126"/>
    <mergeCell ref="AB10:AG10"/>
    <mergeCell ref="P64:Q65"/>
    <mergeCell ref="S23:U24"/>
    <mergeCell ref="A85:K85"/>
    <mergeCell ref="AB5:AG5"/>
    <mergeCell ref="AK121:AP121"/>
    <mergeCell ref="Y31:AA31"/>
    <mergeCell ref="U125:W125"/>
    <mergeCell ref="Q97:R97"/>
    <mergeCell ref="U134:U135"/>
    <mergeCell ref="AD131:AG131"/>
    <mergeCell ref="S21:U22"/>
    <mergeCell ref="A7:H7"/>
    <mergeCell ref="O111:R111"/>
    <mergeCell ref="P25:R26"/>
    <mergeCell ref="Q142:R142"/>
    <mergeCell ref="I14:K14"/>
    <mergeCell ref="AM14:AP14"/>
    <mergeCell ref="AE15:AG15"/>
    <mergeCell ref="V57:X57"/>
    <mergeCell ref="AB19:AD19"/>
    <mergeCell ref="G32:I32"/>
    <mergeCell ref="R109:S109"/>
    <mergeCell ref="Q137:R137"/>
    <mergeCell ref="L15:R15"/>
    <mergeCell ref="I6:N6"/>
    <mergeCell ref="A91:B91"/>
    <mergeCell ref="H111:H112"/>
    <mergeCell ref="F125:H126"/>
    <mergeCell ref="AB20:AD20"/>
    <mergeCell ref="C91:M91"/>
    <mergeCell ref="AB27:AD28"/>
    <mergeCell ref="D31:F31"/>
    <mergeCell ref="J121:N121"/>
    <mergeCell ref="A93:B93"/>
    <mergeCell ref="S18:U18"/>
    <mergeCell ref="AE27:AG28"/>
    <mergeCell ref="S14:AA14"/>
    <mergeCell ref="G27:I28"/>
    <mergeCell ref="S71:W71"/>
    <mergeCell ref="A14:H15"/>
    <mergeCell ref="I125:I126"/>
    <mergeCell ref="Q92:R92"/>
    <mergeCell ref="A102:M102"/>
    <mergeCell ref="V70:X70"/>
    <mergeCell ref="C101:I101"/>
    <mergeCell ref="R64:U64"/>
    <mergeCell ref="M126:O126"/>
    <mergeCell ref="G20:I20"/>
    <mergeCell ref="Q94:R94"/>
    <mergeCell ref="A20:C20"/>
    <mergeCell ref="X134:Z134"/>
    <mergeCell ref="M19:O19"/>
    <mergeCell ref="A104:K104"/>
    <mergeCell ref="AA59:AB59"/>
    <mergeCell ref="Q98:R98"/>
    <mergeCell ref="A8:H8"/>
    <mergeCell ref="I15:K15"/>
    <mergeCell ref="J109:N109"/>
    <mergeCell ref="A10:H10"/>
    <mergeCell ref="T111:U111"/>
    <mergeCell ref="P5:Q5"/>
    <mergeCell ref="T134:T135"/>
    <mergeCell ref="V77:X77"/>
    <mergeCell ref="Q87:R87"/>
    <mergeCell ref="AF59:AG60"/>
    <mergeCell ref="Q88:S88"/>
    <mergeCell ref="V25:X26"/>
    <mergeCell ref="A138:B138"/>
    <mergeCell ref="N111:N112"/>
    <mergeCell ref="Y23:AA24"/>
    <mergeCell ref="S19:U19"/>
    <mergeCell ref="S11:T11"/>
    <mergeCell ref="J31:L31"/>
    <mergeCell ref="W59:W60"/>
    <mergeCell ref="S89:AG89"/>
    <mergeCell ref="C93:P93"/>
    <mergeCell ref="S27:U28"/>
    <mergeCell ref="A121:I121"/>
    <mergeCell ref="AB111:AC111"/>
    <mergeCell ref="S137:W137"/>
    <mergeCell ref="S95:AC95"/>
    <mergeCell ref="AE31:AG31"/>
    <mergeCell ref="C97:N97"/>
    <mergeCell ref="U132:Y132"/>
  </mergeCells>
  <printOptions horizontalCentered="1"/>
  <pageMargins left="0.8267716535433072" right="0.7086614173228347" top="0.7480314960629921" bottom="0.7480314960629921" header="0.3149606299212598" footer="0.3149606299212598"/>
  <pageSetup orientation="portrait" paperSize="9" scale="69"/>
  <headerFooter>
    <oddHeader/>
    <oddFooter>&amp;LCN-QP-13-01   REV.00</oddFooter>
    <evenHeader/>
    <evenFooter/>
    <firstHeader/>
    <firstFooter/>
  </headerFooter>
  <rowBreaks count="2" manualBreakCount="2">
    <brk id="47" min="0" max="16383" man="1"/>
    <brk id="101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sec-1</dc:creator>
  <dcterms:created xmlns:dcterms="http://purl.org/dc/terms/" xmlns:xsi="http://www.w3.org/2001/XMLSchema-instance" xsi:type="dcterms:W3CDTF">2010-04-16T07:45:14Z</dcterms:created>
  <dcterms:modified xmlns:dcterms="http://purl.org/dc/terms/" xmlns:xsi="http://www.w3.org/2001/XMLSchema-instance" xsi:type="dcterms:W3CDTF">2026-09-01T12:29:54Z</dcterms:modified>
  <cp:lastModifiedBy>user</cp:lastModifiedBy>
  <cp:lastPrinted>2026-07-06T01:33:53Z</cp:lastPrinted>
</cp:coreProperties>
</file>